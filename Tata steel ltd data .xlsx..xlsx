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5d65bde1f59fee0/Desktop/"/>
    </mc:Choice>
  </mc:AlternateContent>
  <xr:revisionPtr revIDLastSave="1019" documentId="13_ncr:1_{E65F475F-FB7F-4D73-848B-3FE6E69F315F}" xr6:coauthVersionLast="47" xr6:coauthVersionMax="47" xr10:uidLastSave="{3E59E66B-F4D6-4115-A59E-2A485947535B}"/>
  <bookViews>
    <workbookView xWindow="-108" yWindow="-108" windowWidth="23256" windowHeight="13896" firstSheet="1" activeTab="3" xr2:uid="{00000000-000D-0000-FFFF-FFFF00000000}"/>
  </bookViews>
  <sheets>
    <sheet name="Data Sheet" sheetId="6" r:id="rId1"/>
    <sheet name="HistoricalFS " sheetId="8" r:id="rId2"/>
    <sheet name="Ratio Analysis" sheetId="11" r:id="rId3"/>
    <sheet name="Forecasting" sheetId="13" r:id="rId4"/>
    <sheet name="Cash Flow Data" sheetId="10" r:id="rId5"/>
    <sheet name="WACC" sheetId="14" r:id="rId6"/>
    <sheet name="Beta" sheetId="15" r:id="rId7"/>
    <sheet name="RM" sheetId="16" r:id="rId8"/>
    <sheet name="Common Size Statement" sheetId="17" r:id="rId9"/>
    <sheet name="Raw FS" sheetId="18" r:id="rId10"/>
    <sheet name="Intrinsic Growth" sheetId="20" r:id="rId11"/>
    <sheet name="DCF" sheetId="21" r:id="rId12"/>
    <sheet name="Relative Pricing" sheetId="22" r:id="rId13"/>
    <sheet name="Data" sheetId="23" r:id="rId14"/>
  </sheets>
  <definedNames>
    <definedName name="_xlnm._FilterDatabase" localSheetId="0" hidden="1">'Data Sheet'!$A$16:$K$31</definedName>
    <definedName name="_xlnm._FilterDatabase" localSheetId="5" hidden="1">WACC!$B$7:$J$7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6" i="6" l="1"/>
  <c r="J106" i="6"/>
  <c r="I106" i="6"/>
  <c r="H106" i="6"/>
  <c r="G106" i="6"/>
  <c r="F106" i="6"/>
  <c r="E106" i="6"/>
  <c r="D106" i="6"/>
  <c r="C106" i="6"/>
  <c r="B106" i="6"/>
  <c r="K104" i="6"/>
  <c r="J104" i="6"/>
  <c r="I104" i="6"/>
  <c r="H104" i="6"/>
  <c r="G104" i="6"/>
  <c r="F104" i="6"/>
  <c r="E104" i="6"/>
  <c r="D104" i="6"/>
  <c r="C104" i="6"/>
  <c r="B104" i="6"/>
  <c r="K103" i="6"/>
  <c r="J103" i="6"/>
  <c r="I103" i="6"/>
  <c r="H103" i="6"/>
  <c r="G103" i="6"/>
  <c r="F103" i="6"/>
  <c r="E103" i="6"/>
  <c r="D103" i="6"/>
  <c r="C103" i="6"/>
  <c r="B103" i="6"/>
  <c r="K100" i="6"/>
  <c r="J100" i="6"/>
  <c r="I100" i="6"/>
  <c r="H100" i="6"/>
  <c r="G100" i="6"/>
  <c r="F100" i="6"/>
  <c r="E100" i="6"/>
  <c r="D100" i="6"/>
  <c r="C100" i="6"/>
  <c r="B100" i="6"/>
  <c r="B99" i="6"/>
  <c r="K99" i="6"/>
  <c r="J99" i="6"/>
  <c r="I99" i="6"/>
  <c r="H99" i="6"/>
  <c r="G99" i="6"/>
  <c r="F99" i="6"/>
  <c r="E99" i="6"/>
  <c r="D99" i="6"/>
  <c r="C99" i="6"/>
  <c r="K98" i="6"/>
  <c r="J98" i="6"/>
  <c r="I98" i="6"/>
  <c r="H98" i="6"/>
  <c r="G98" i="6"/>
  <c r="F98" i="6"/>
  <c r="E98" i="6"/>
  <c r="D98" i="6"/>
  <c r="C98" i="6"/>
  <c r="B98" i="6"/>
  <c r="L96" i="6"/>
  <c r="K96" i="6"/>
  <c r="J96" i="6"/>
  <c r="I96" i="6"/>
  <c r="H96" i="6"/>
  <c r="G96" i="6"/>
  <c r="F96" i="6"/>
  <c r="E96" i="6"/>
  <c r="D96" i="6"/>
  <c r="C96" i="6"/>
  <c r="B96" i="6"/>
  <c r="I18" i="21"/>
  <c r="J4" i="23"/>
  <c r="F4" i="23"/>
  <c r="H9" i="22"/>
  <c r="O9" i="22" s="1"/>
  <c r="B27" i="22"/>
  <c r="G10" i="22"/>
  <c r="G11" i="22"/>
  <c r="G12" i="22"/>
  <c r="G13" i="22"/>
  <c r="G9" i="22"/>
  <c r="N25" i="22" s="1"/>
  <c r="O25" i="22" s="1"/>
  <c r="P25" i="22" s="1"/>
  <c r="I8" i="23"/>
  <c r="I7" i="23"/>
  <c r="I6" i="23"/>
  <c r="I5" i="23"/>
  <c r="I4" i="23"/>
  <c r="L13" i="22"/>
  <c r="L12" i="22"/>
  <c r="L11" i="22"/>
  <c r="L10" i="22"/>
  <c r="L9" i="22"/>
  <c r="J13" i="22"/>
  <c r="J12" i="22"/>
  <c r="K11" i="22"/>
  <c r="J11" i="22"/>
  <c r="J10" i="22"/>
  <c r="H12" i="22"/>
  <c r="H11" i="22"/>
  <c r="E13" i="22"/>
  <c r="E12" i="22"/>
  <c r="E11" i="22"/>
  <c r="E10" i="22"/>
  <c r="D13" i="22"/>
  <c r="D12" i="22"/>
  <c r="D11" i="22"/>
  <c r="D10" i="22"/>
  <c r="B13" i="22"/>
  <c r="B12" i="22"/>
  <c r="B11" i="22"/>
  <c r="B10" i="22"/>
  <c r="N4" i="23"/>
  <c r="K9" i="22" s="1"/>
  <c r="N6" i="23"/>
  <c r="N7" i="23"/>
  <c r="K12" i="22" s="1"/>
  <c r="N8" i="23"/>
  <c r="K13" i="22" s="1"/>
  <c r="N5" i="23"/>
  <c r="K10" i="22" s="1"/>
  <c r="J9" i="22"/>
  <c r="F8" i="23"/>
  <c r="J8" i="23" s="1"/>
  <c r="H13" i="22" s="1"/>
  <c r="F7" i="23"/>
  <c r="J7" i="23" s="1"/>
  <c r="F6" i="23"/>
  <c r="J6" i="23" s="1"/>
  <c r="F5" i="23"/>
  <c r="J5" i="23" s="1"/>
  <c r="H10" i="22" s="1"/>
  <c r="E9" i="22"/>
  <c r="P27" i="22" s="1"/>
  <c r="D9" i="22"/>
  <c r="B9" i="22"/>
  <c r="D55" i="20"/>
  <c r="C40" i="20"/>
  <c r="G12" i="20"/>
  <c r="F12" i="20"/>
  <c r="E12" i="20"/>
  <c r="D12" i="20"/>
  <c r="C12" i="20"/>
  <c r="G11" i="20"/>
  <c r="F11" i="20"/>
  <c r="E11" i="20"/>
  <c r="D11" i="20"/>
  <c r="C11" i="20"/>
  <c r="C39" i="21"/>
  <c r="C36" i="21"/>
  <c r="C37" i="21"/>
  <c r="C25" i="21"/>
  <c r="C5" i="21"/>
  <c r="C7" i="21" s="1"/>
  <c r="E10" i="21"/>
  <c r="F10" i="21" s="1"/>
  <c r="D6" i="21"/>
  <c r="E6" i="21" s="1"/>
  <c r="F6" i="21" s="1"/>
  <c r="G6" i="21" s="1"/>
  <c r="H6" i="21" s="1"/>
  <c r="C18" i="21"/>
  <c r="E11" i="21" s="1"/>
  <c r="K37" i="6"/>
  <c r="J37" i="6"/>
  <c r="I37" i="6"/>
  <c r="H37" i="6"/>
  <c r="G37" i="6"/>
  <c r="F37" i="6"/>
  <c r="E37" i="6"/>
  <c r="D37" i="6"/>
  <c r="C37" i="6"/>
  <c r="B37" i="6"/>
  <c r="B35" i="6"/>
  <c r="C3" i="21"/>
  <c r="D3" i="21" s="1"/>
  <c r="E3" i="21" s="1"/>
  <c r="F3" i="21" s="1"/>
  <c r="G3" i="21" s="1"/>
  <c r="H3" i="21" s="1"/>
  <c r="F48" i="20"/>
  <c r="G36" i="20"/>
  <c r="F36" i="20"/>
  <c r="E36" i="20"/>
  <c r="D36" i="20"/>
  <c r="C36" i="20"/>
  <c r="B66" i="20"/>
  <c r="B65" i="20"/>
  <c r="D52" i="20"/>
  <c r="E52" i="20" s="1"/>
  <c r="F52" i="20" s="1"/>
  <c r="G48" i="20"/>
  <c r="E48" i="20"/>
  <c r="D48" i="20"/>
  <c r="C48" i="20"/>
  <c r="B17" i="20"/>
  <c r="G34" i="20"/>
  <c r="F34" i="20"/>
  <c r="E34" i="20"/>
  <c r="D34" i="20"/>
  <c r="C34" i="20"/>
  <c r="G33" i="20"/>
  <c r="F33" i="20"/>
  <c r="E33" i="20"/>
  <c r="D33" i="20"/>
  <c r="C33" i="20"/>
  <c r="G32" i="20"/>
  <c r="F32" i="20"/>
  <c r="E32" i="20"/>
  <c r="D32" i="20"/>
  <c r="C32" i="20"/>
  <c r="G31" i="20"/>
  <c r="F31" i="20"/>
  <c r="E31" i="20"/>
  <c r="D31" i="20"/>
  <c r="C31" i="20"/>
  <c r="G30" i="20"/>
  <c r="F30" i="20"/>
  <c r="E30" i="20"/>
  <c r="D30" i="20"/>
  <c r="C30" i="20"/>
  <c r="G29" i="20"/>
  <c r="F29" i="20"/>
  <c r="E29" i="20"/>
  <c r="D29" i="20"/>
  <c r="C29" i="20"/>
  <c r="G28" i="20"/>
  <c r="F28" i="20"/>
  <c r="E28" i="20"/>
  <c r="D28" i="20"/>
  <c r="C28" i="20"/>
  <c r="G27" i="20"/>
  <c r="F27" i="20"/>
  <c r="E27" i="20"/>
  <c r="D27" i="20"/>
  <c r="C27" i="20"/>
  <c r="G26" i="20"/>
  <c r="F26" i="20"/>
  <c r="E26" i="20"/>
  <c r="D26" i="20"/>
  <c r="C26" i="20"/>
  <c r="B36" i="20"/>
  <c r="B35" i="20"/>
  <c r="B34" i="20"/>
  <c r="B33" i="20"/>
  <c r="B32" i="20"/>
  <c r="B31" i="20"/>
  <c r="B30" i="20"/>
  <c r="B29" i="20"/>
  <c r="B28" i="20"/>
  <c r="B27" i="20"/>
  <c r="B26" i="20"/>
  <c r="G19" i="20"/>
  <c r="F19" i="20"/>
  <c r="E19" i="20"/>
  <c r="D19" i="20"/>
  <c r="C19" i="20"/>
  <c r="G18" i="20"/>
  <c r="F18" i="20"/>
  <c r="E18" i="20"/>
  <c r="D18" i="20"/>
  <c r="C18" i="20"/>
  <c r="G17" i="20"/>
  <c r="F17" i="20"/>
  <c r="E17" i="20"/>
  <c r="D17" i="20"/>
  <c r="C17" i="20"/>
  <c r="B19" i="20"/>
  <c r="B18" i="20"/>
  <c r="G10" i="20"/>
  <c r="F10" i="20"/>
  <c r="E10" i="20"/>
  <c r="D10" i="20"/>
  <c r="C10" i="20"/>
  <c r="G9" i="20"/>
  <c r="F9" i="20"/>
  <c r="E9" i="20"/>
  <c r="D9" i="20"/>
  <c r="C9" i="20"/>
  <c r="G8" i="20"/>
  <c r="F8" i="20"/>
  <c r="E8" i="20"/>
  <c r="D8" i="20"/>
  <c r="C8" i="20"/>
  <c r="G7" i="20"/>
  <c r="F7" i="20"/>
  <c r="E7" i="20"/>
  <c r="D7" i="20"/>
  <c r="C7" i="20"/>
  <c r="B12" i="20"/>
  <c r="B11" i="20"/>
  <c r="B8" i="20"/>
  <c r="B9" i="20"/>
  <c r="B10" i="20"/>
  <c r="B7" i="20"/>
  <c r="G4" i="20"/>
  <c r="G46" i="20" s="1"/>
  <c r="F4" i="20"/>
  <c r="F46" i="20" s="1"/>
  <c r="E4" i="20"/>
  <c r="E46" i="20" s="1"/>
  <c r="D4" i="20"/>
  <c r="D46" i="20" s="1"/>
  <c r="C4" i="20"/>
  <c r="C46" i="20" s="1"/>
  <c r="C32" i="18"/>
  <c r="N32" i="18"/>
  <c r="M32" i="18"/>
  <c r="L32" i="18"/>
  <c r="K32" i="18"/>
  <c r="J32" i="18"/>
  <c r="I32" i="18"/>
  <c r="H32" i="18"/>
  <c r="G32" i="18"/>
  <c r="F32" i="18"/>
  <c r="E32" i="18"/>
  <c r="D32" i="18"/>
  <c r="J9" i="14"/>
  <c r="J15" i="14"/>
  <c r="H9" i="14"/>
  <c r="G9" i="14"/>
  <c r="C31" i="14"/>
  <c r="S9" i="14"/>
  <c r="T9" i="14"/>
  <c r="C40" i="17"/>
  <c r="D40" i="17"/>
  <c r="E40" i="17"/>
  <c r="F40" i="17"/>
  <c r="G40" i="17"/>
  <c r="H40" i="17"/>
  <c r="I40" i="17"/>
  <c r="J40" i="17"/>
  <c r="K40" i="17"/>
  <c r="L40" i="17"/>
  <c r="C41" i="17"/>
  <c r="D41" i="17"/>
  <c r="E41" i="17"/>
  <c r="F41" i="17"/>
  <c r="G41" i="17"/>
  <c r="H41" i="17"/>
  <c r="I41" i="17"/>
  <c r="J41" i="17"/>
  <c r="K41" i="17"/>
  <c r="L41" i="17"/>
  <c r="D39" i="17"/>
  <c r="E39" i="17"/>
  <c r="F39" i="17"/>
  <c r="G39" i="17"/>
  <c r="H39" i="17"/>
  <c r="I39" i="17"/>
  <c r="J39" i="17"/>
  <c r="K39" i="17"/>
  <c r="L39" i="17"/>
  <c r="C39" i="17"/>
  <c r="L38" i="17"/>
  <c r="K38" i="17"/>
  <c r="J38" i="17"/>
  <c r="I38" i="17"/>
  <c r="H38" i="17"/>
  <c r="G38" i="17"/>
  <c r="F38" i="17"/>
  <c r="E38" i="17"/>
  <c r="D38" i="17"/>
  <c r="C38" i="17"/>
  <c r="K75" i="6"/>
  <c r="J75" i="6"/>
  <c r="I75" i="6"/>
  <c r="H75" i="6"/>
  <c r="G75" i="6"/>
  <c r="F75" i="6"/>
  <c r="E75" i="6"/>
  <c r="D75" i="6"/>
  <c r="C75" i="6"/>
  <c r="B75" i="6"/>
  <c r="C36" i="17"/>
  <c r="D36" i="17"/>
  <c r="E36" i="17"/>
  <c r="F36" i="17"/>
  <c r="G36" i="17"/>
  <c r="H36" i="17"/>
  <c r="I36" i="17"/>
  <c r="J36" i="17"/>
  <c r="K36" i="17"/>
  <c r="L36" i="17"/>
  <c r="C37" i="17"/>
  <c r="D37" i="17"/>
  <c r="E37" i="17"/>
  <c r="F37" i="17"/>
  <c r="G37" i="17"/>
  <c r="H37" i="17"/>
  <c r="I37" i="17"/>
  <c r="J37" i="17"/>
  <c r="K37" i="17"/>
  <c r="L37" i="17"/>
  <c r="D35" i="17"/>
  <c r="E35" i="17"/>
  <c r="F35" i="17"/>
  <c r="G35" i="17"/>
  <c r="H35" i="17"/>
  <c r="I35" i="17"/>
  <c r="J35" i="17"/>
  <c r="K35" i="17"/>
  <c r="L35" i="17"/>
  <c r="C35" i="17"/>
  <c r="D34" i="17"/>
  <c r="E34" i="17"/>
  <c r="F34" i="17"/>
  <c r="G34" i="17"/>
  <c r="H34" i="17"/>
  <c r="I34" i="17"/>
  <c r="J34" i="17"/>
  <c r="K34" i="17"/>
  <c r="L34" i="17"/>
  <c r="C34" i="17"/>
  <c r="C30" i="17"/>
  <c r="D30" i="17"/>
  <c r="E30" i="17"/>
  <c r="F30" i="17"/>
  <c r="G30" i="17"/>
  <c r="H30" i="17"/>
  <c r="I30" i="17"/>
  <c r="J30" i="17"/>
  <c r="K30" i="17"/>
  <c r="L30" i="17"/>
  <c r="C31" i="17"/>
  <c r="D31" i="17"/>
  <c r="E31" i="17"/>
  <c r="F31" i="17"/>
  <c r="G31" i="17"/>
  <c r="H31" i="17"/>
  <c r="I31" i="17"/>
  <c r="J31" i="17"/>
  <c r="K31" i="17"/>
  <c r="L31" i="17"/>
  <c r="C32" i="17"/>
  <c r="D32" i="17"/>
  <c r="E32" i="17"/>
  <c r="F32" i="17"/>
  <c r="G32" i="17"/>
  <c r="H32" i="17"/>
  <c r="I32" i="17"/>
  <c r="J32" i="17"/>
  <c r="K32" i="17"/>
  <c r="L32" i="17"/>
  <c r="D29" i="17"/>
  <c r="E29" i="17"/>
  <c r="F29" i="17"/>
  <c r="G29" i="17"/>
  <c r="H29" i="17"/>
  <c r="I29" i="17"/>
  <c r="J29" i="17"/>
  <c r="K29" i="17"/>
  <c r="L29" i="17"/>
  <c r="C29" i="17"/>
  <c r="D28" i="17"/>
  <c r="E28" i="17"/>
  <c r="F28" i="17"/>
  <c r="G28" i="17"/>
  <c r="H28" i="17"/>
  <c r="I28" i="17"/>
  <c r="J28" i="17"/>
  <c r="K28" i="17"/>
  <c r="L28" i="17"/>
  <c r="C28" i="17"/>
  <c r="B34" i="17"/>
  <c r="B41" i="17"/>
  <c r="B40" i="17"/>
  <c r="B39" i="17"/>
  <c r="B38" i="17"/>
  <c r="B37" i="17"/>
  <c r="B36" i="17"/>
  <c r="B35" i="17"/>
  <c r="B32" i="17"/>
  <c r="B31" i="17"/>
  <c r="B30" i="17"/>
  <c r="B29" i="17"/>
  <c r="L26" i="17"/>
  <c r="K26" i="17"/>
  <c r="J26" i="17"/>
  <c r="I26" i="17"/>
  <c r="H26" i="17"/>
  <c r="G26" i="17"/>
  <c r="F26" i="17"/>
  <c r="E26" i="17"/>
  <c r="D26" i="17"/>
  <c r="C26" i="17"/>
  <c r="B24" i="17"/>
  <c r="L20" i="17"/>
  <c r="K20" i="17"/>
  <c r="J20" i="17"/>
  <c r="I20" i="17"/>
  <c r="H20" i="17"/>
  <c r="G20" i="17"/>
  <c r="F20" i="17"/>
  <c r="E20" i="17"/>
  <c r="D20" i="17"/>
  <c r="L19" i="17"/>
  <c r="K19" i="17"/>
  <c r="J19" i="17"/>
  <c r="I19" i="17"/>
  <c r="H19" i="17"/>
  <c r="G19" i="17"/>
  <c r="F19" i="17"/>
  <c r="E19" i="17"/>
  <c r="D19" i="17"/>
  <c r="L18" i="17"/>
  <c r="K18" i="17"/>
  <c r="J18" i="17"/>
  <c r="I18" i="17"/>
  <c r="H18" i="17"/>
  <c r="G18" i="17"/>
  <c r="F18" i="17"/>
  <c r="E18" i="17"/>
  <c r="D18" i="17"/>
  <c r="L17" i="17"/>
  <c r="K17" i="17"/>
  <c r="J17" i="17"/>
  <c r="I17" i="17"/>
  <c r="H17" i="17"/>
  <c r="G17" i="17"/>
  <c r="F17" i="17"/>
  <c r="E17" i="17"/>
  <c r="D17" i="17"/>
  <c r="L16" i="17"/>
  <c r="K16" i="17"/>
  <c r="J16" i="17"/>
  <c r="I16" i="17"/>
  <c r="H16" i="17"/>
  <c r="G16" i="17"/>
  <c r="F16" i="17"/>
  <c r="E16" i="17"/>
  <c r="D16" i="17"/>
  <c r="L15" i="17"/>
  <c r="K15" i="17"/>
  <c r="J15" i="17"/>
  <c r="I15" i="17"/>
  <c r="H15" i="17"/>
  <c r="G15" i="17"/>
  <c r="F15" i="17"/>
  <c r="E15" i="17"/>
  <c r="D15" i="17"/>
  <c r="L14" i="17"/>
  <c r="K14" i="17"/>
  <c r="J14" i="17"/>
  <c r="I14" i="17"/>
  <c r="H14" i="17"/>
  <c r="G14" i="17"/>
  <c r="F14" i="17"/>
  <c r="E14" i="17"/>
  <c r="D14" i="17"/>
  <c r="L13" i="17"/>
  <c r="K13" i="17"/>
  <c r="J13" i="17"/>
  <c r="I13" i="17"/>
  <c r="H13" i="17"/>
  <c r="G13" i="17"/>
  <c r="F13" i="17"/>
  <c r="E13" i="17"/>
  <c r="D13" i="17"/>
  <c r="L12" i="17"/>
  <c r="K12" i="17"/>
  <c r="J12" i="17"/>
  <c r="I12" i="17"/>
  <c r="H12" i="17"/>
  <c r="G12" i="17"/>
  <c r="F12" i="17"/>
  <c r="E12" i="17"/>
  <c r="D12" i="17"/>
  <c r="L11" i="17"/>
  <c r="K11" i="17"/>
  <c r="J11" i="17"/>
  <c r="I11" i="17"/>
  <c r="H11" i="17"/>
  <c r="G11" i="17"/>
  <c r="F11" i="17"/>
  <c r="E11" i="17"/>
  <c r="D11" i="17"/>
  <c r="L10" i="17"/>
  <c r="K10" i="17"/>
  <c r="J10" i="17"/>
  <c r="I10" i="17"/>
  <c r="H10" i="17"/>
  <c r="G10" i="17"/>
  <c r="F10" i="17"/>
  <c r="E10" i="17"/>
  <c r="D10" i="17"/>
  <c r="L9" i="17"/>
  <c r="K9" i="17"/>
  <c r="J9" i="17"/>
  <c r="I9" i="17"/>
  <c r="H9" i="17"/>
  <c r="G9" i="17"/>
  <c r="F9" i="17"/>
  <c r="E9" i="17"/>
  <c r="D9" i="17"/>
  <c r="L8" i="17"/>
  <c r="K8" i="17"/>
  <c r="J8" i="17"/>
  <c r="I8" i="17"/>
  <c r="H8" i="17"/>
  <c r="G8" i="17"/>
  <c r="F8" i="17"/>
  <c r="E8" i="17"/>
  <c r="D8" i="17"/>
  <c r="L7" i="17"/>
  <c r="K7" i="17"/>
  <c r="J7" i="17"/>
  <c r="I7" i="17"/>
  <c r="H7" i="17"/>
  <c r="G7" i="17"/>
  <c r="F7" i="17"/>
  <c r="E7" i="17"/>
  <c r="D7" i="17"/>
  <c r="L6" i="17"/>
  <c r="K6" i="17"/>
  <c r="J6" i="17"/>
  <c r="I6" i="17"/>
  <c r="H6" i="17"/>
  <c r="G6" i="17"/>
  <c r="F6" i="17"/>
  <c r="E6" i="17"/>
  <c r="D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6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L4" i="17"/>
  <c r="K4" i="17"/>
  <c r="J4" i="17"/>
  <c r="I4" i="17"/>
  <c r="H4" i="17"/>
  <c r="G4" i="17"/>
  <c r="F4" i="17"/>
  <c r="E4" i="17"/>
  <c r="D4" i="17"/>
  <c r="C4" i="17"/>
  <c r="B2" i="17"/>
  <c r="G7" i="16"/>
  <c r="G4" i="16"/>
  <c r="J30" i="14"/>
  <c r="C30" i="14"/>
  <c r="F14" i="14"/>
  <c r="K17" i="15"/>
  <c r="K6" i="15"/>
  <c r="C63" i="15"/>
  <c r="G7" i="15"/>
  <c r="C7" i="15"/>
  <c r="G122" i="15"/>
  <c r="C122" i="15"/>
  <c r="G121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D14" i="13"/>
  <c r="D21" i="14"/>
  <c r="I15" i="14"/>
  <c r="F15" i="14"/>
  <c r="I14" i="14"/>
  <c r="H12" i="14"/>
  <c r="H11" i="14"/>
  <c r="H10" i="14"/>
  <c r="G12" i="14"/>
  <c r="J12" i="14" s="1"/>
  <c r="G11" i="14"/>
  <c r="J11" i="14" s="1"/>
  <c r="G10" i="14"/>
  <c r="J10" i="14" s="1"/>
  <c r="L2" i="13"/>
  <c r="M4" i="13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L6" i="13"/>
  <c r="L7" i="13" s="1"/>
  <c r="L8" i="13" s="1"/>
  <c r="L9" i="13" s="1"/>
  <c r="L10" i="13" s="1"/>
  <c r="L11" i="13" s="1"/>
  <c r="L12" i="13" s="1"/>
  <c r="L13" i="13" s="1"/>
  <c r="L14" i="13" s="1"/>
  <c r="L5" i="13"/>
  <c r="G2" i="13"/>
  <c r="G5" i="13"/>
  <c r="G6" i="13" s="1"/>
  <c r="G7" i="13" s="1"/>
  <c r="G8" i="13" s="1"/>
  <c r="G9" i="13" s="1"/>
  <c r="G10" i="13" s="1"/>
  <c r="G11" i="13" s="1"/>
  <c r="G12" i="13" s="1"/>
  <c r="G13" i="13" s="1"/>
  <c r="G14" i="13" s="1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C4" i="13"/>
  <c r="B2" i="13"/>
  <c r="O11" i="22" l="1"/>
  <c r="F11" i="22"/>
  <c r="P11" i="22" s="1"/>
  <c r="N27" i="22"/>
  <c r="F12" i="22"/>
  <c r="P12" i="22" s="1"/>
  <c r="F13" i="22"/>
  <c r="P13" i="22" s="1"/>
  <c r="O27" i="22"/>
  <c r="F10" i="22"/>
  <c r="P10" i="22" s="1"/>
  <c r="N11" i="22"/>
  <c r="N10" i="22"/>
  <c r="O10" i="22"/>
  <c r="O12" i="22"/>
  <c r="O13" i="22"/>
  <c r="N13" i="22"/>
  <c r="N12" i="22"/>
  <c r="N9" i="22"/>
  <c r="F9" i="22"/>
  <c r="P9" i="22" s="1"/>
  <c r="D11" i="21"/>
  <c r="C24" i="21"/>
  <c r="F11" i="21"/>
  <c r="G10" i="21"/>
  <c r="H10" i="21" s="1"/>
  <c r="H11" i="21"/>
  <c r="C63" i="20"/>
  <c r="G63" i="20"/>
  <c r="E63" i="20"/>
  <c r="D63" i="20"/>
  <c r="F63" i="20"/>
  <c r="G52" i="20"/>
  <c r="E13" i="20"/>
  <c r="C35" i="20"/>
  <c r="C37" i="20" s="1"/>
  <c r="F20" i="20"/>
  <c r="E20" i="20"/>
  <c r="C13" i="20"/>
  <c r="D35" i="20"/>
  <c r="D37" i="20" s="1"/>
  <c r="G35" i="20"/>
  <c r="G37" i="20" s="1"/>
  <c r="F35" i="20"/>
  <c r="F37" i="20" s="1"/>
  <c r="E35" i="20"/>
  <c r="E37" i="20" s="1"/>
  <c r="D20" i="20"/>
  <c r="F13" i="20"/>
  <c r="F22" i="20" s="1"/>
  <c r="D13" i="20"/>
  <c r="G13" i="20"/>
  <c r="G20" i="20"/>
  <c r="C20" i="20"/>
  <c r="J28" i="14"/>
  <c r="C32" i="14"/>
  <c r="D30" i="14" s="1"/>
  <c r="G14" i="14"/>
  <c r="J21" i="14"/>
  <c r="J14" i="14"/>
  <c r="H15" i="14"/>
  <c r="H14" i="14"/>
  <c r="E30" i="14" s="1"/>
  <c r="G15" i="14"/>
  <c r="D22" i="14"/>
  <c r="I37" i="14" s="1"/>
  <c r="K11" i="15"/>
  <c r="L15" i="13"/>
  <c r="G15" i="13"/>
  <c r="O19" i="22" l="1"/>
  <c r="O15" i="22"/>
  <c r="O16" i="22"/>
  <c r="O20" i="22"/>
  <c r="O17" i="22"/>
  <c r="O18" i="22"/>
  <c r="P16" i="22"/>
  <c r="P17" i="22"/>
  <c r="P19" i="22"/>
  <c r="P20" i="22"/>
  <c r="P18" i="22"/>
  <c r="P26" i="22" s="1"/>
  <c r="P15" i="22"/>
  <c r="N20" i="22"/>
  <c r="N18" i="22"/>
  <c r="N24" i="22" s="1"/>
  <c r="N19" i="22"/>
  <c r="N17" i="22"/>
  <c r="N16" i="22"/>
  <c r="N15" i="22"/>
  <c r="G11" i="21"/>
  <c r="C22" i="20"/>
  <c r="E22" i="20"/>
  <c r="F49" i="20" s="1"/>
  <c r="F55" i="20" s="1"/>
  <c r="D22" i="20"/>
  <c r="D40" i="20" s="1"/>
  <c r="F40" i="20"/>
  <c r="G22" i="20"/>
  <c r="G49" i="20" s="1"/>
  <c r="D31" i="14"/>
  <c r="D35" i="14" s="1"/>
  <c r="D32" i="14"/>
  <c r="E32" i="14" s="1"/>
  <c r="E31" i="14" s="1"/>
  <c r="J37" i="14"/>
  <c r="L16" i="13"/>
  <c r="G16" i="13"/>
  <c r="O24" i="22" l="1"/>
  <c r="O26" i="22" s="1"/>
  <c r="O29" i="22" s="1"/>
  <c r="O31" i="22" s="1"/>
  <c r="N26" i="22"/>
  <c r="N29" i="22" s="1"/>
  <c r="N31" i="22" s="1"/>
  <c r="P24" i="22"/>
  <c r="P29" i="22"/>
  <c r="P31" i="22" s="1"/>
  <c r="E40" i="20"/>
  <c r="E49" i="20"/>
  <c r="E55" i="20" s="1"/>
  <c r="D49" i="20"/>
  <c r="G40" i="20"/>
  <c r="G55" i="20"/>
  <c r="J38" i="14"/>
  <c r="J39" i="14" s="1"/>
  <c r="E35" i="14"/>
  <c r="L17" i="13"/>
  <c r="G17" i="13"/>
  <c r="D4" i="13" a="1"/>
  <c r="D6" i="13" s="1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B5" i="13"/>
  <c r="B6" i="13" s="1"/>
  <c r="B7" i="13" s="1"/>
  <c r="B8" i="13" s="1"/>
  <c r="B9" i="13" s="1"/>
  <c r="B10" i="13" s="1"/>
  <c r="B11" i="13" s="1"/>
  <c r="B12" i="13" s="1"/>
  <c r="B13" i="13" s="1"/>
  <c r="B14" i="13" s="1"/>
  <c r="C33" i="6"/>
  <c r="J29" i="14" l="1"/>
  <c r="J31" i="14" s="1"/>
  <c r="J22" i="14" s="1"/>
  <c r="B15" i="13"/>
  <c r="D12" i="13"/>
  <c r="D4" i="13"/>
  <c r="D11" i="13"/>
  <c r="E11" i="13" s="1"/>
  <c r="D9" i="13"/>
  <c r="D8" i="13"/>
  <c r="D7" i="13"/>
  <c r="E7" i="13" s="1"/>
  <c r="D13" i="13"/>
  <c r="D5" i="13"/>
  <c r="D10" i="13"/>
  <c r="B2" i="11"/>
  <c r="L3" i="11"/>
  <c r="K3" i="11"/>
  <c r="J3" i="11"/>
  <c r="I3" i="11"/>
  <c r="H3" i="11"/>
  <c r="G3" i="11"/>
  <c r="F3" i="11"/>
  <c r="E3" i="11"/>
  <c r="D3" i="11"/>
  <c r="C3" i="11"/>
  <c r="L107" i="8"/>
  <c r="K107" i="8"/>
  <c r="J107" i="8"/>
  <c r="I107" i="8"/>
  <c r="H107" i="8"/>
  <c r="G107" i="8"/>
  <c r="F107" i="8"/>
  <c r="E107" i="8"/>
  <c r="D107" i="8"/>
  <c r="C107" i="8"/>
  <c r="L105" i="8"/>
  <c r="K105" i="8"/>
  <c r="J105" i="8"/>
  <c r="I105" i="8"/>
  <c r="H105" i="8"/>
  <c r="G105" i="8"/>
  <c r="G109" i="8" s="1"/>
  <c r="F105" i="8"/>
  <c r="F109" i="8" s="1"/>
  <c r="E105" i="8"/>
  <c r="D105" i="8"/>
  <c r="C105" i="8"/>
  <c r="L103" i="8"/>
  <c r="K103" i="8"/>
  <c r="J103" i="8"/>
  <c r="J40" i="11" s="1"/>
  <c r="I103" i="8"/>
  <c r="I38" i="11" s="1"/>
  <c r="H103" i="8"/>
  <c r="G103" i="8"/>
  <c r="F103" i="8"/>
  <c r="E103" i="8"/>
  <c r="D103" i="8"/>
  <c r="C103" i="8"/>
  <c r="C109" i="8" s="1"/>
  <c r="L99" i="8"/>
  <c r="K99" i="8"/>
  <c r="J99" i="8"/>
  <c r="I99" i="8"/>
  <c r="H99" i="8"/>
  <c r="G99" i="8"/>
  <c r="F99" i="8"/>
  <c r="E99" i="8"/>
  <c r="D99" i="8"/>
  <c r="C99" i="8"/>
  <c r="L98" i="8"/>
  <c r="K98" i="8"/>
  <c r="J98" i="8"/>
  <c r="I98" i="8"/>
  <c r="H98" i="8"/>
  <c r="G98" i="8"/>
  <c r="F98" i="8"/>
  <c r="E98" i="8"/>
  <c r="D98" i="8"/>
  <c r="C98" i="8"/>
  <c r="L97" i="8"/>
  <c r="K97" i="8"/>
  <c r="J97" i="8"/>
  <c r="I97" i="8"/>
  <c r="H97" i="8"/>
  <c r="G97" i="8"/>
  <c r="F97" i="8"/>
  <c r="E97" i="8"/>
  <c r="D97" i="8"/>
  <c r="C97" i="8"/>
  <c r="L96" i="8"/>
  <c r="K96" i="8"/>
  <c r="J96" i="8"/>
  <c r="I96" i="8"/>
  <c r="H96" i="8"/>
  <c r="G96" i="8"/>
  <c r="F96" i="8"/>
  <c r="E96" i="8"/>
  <c r="D96" i="8"/>
  <c r="C96" i="8"/>
  <c r="L95" i="8"/>
  <c r="K95" i="8"/>
  <c r="J95" i="8"/>
  <c r="I95" i="8"/>
  <c r="H95" i="8"/>
  <c r="G95" i="8"/>
  <c r="F95" i="8"/>
  <c r="E95" i="8"/>
  <c r="D95" i="8"/>
  <c r="C95" i="8"/>
  <c r="L94" i="8"/>
  <c r="K94" i="8"/>
  <c r="J94" i="8"/>
  <c r="I94" i="8"/>
  <c r="H94" i="8"/>
  <c r="G94" i="8"/>
  <c r="F94" i="8"/>
  <c r="E94" i="8"/>
  <c r="D94" i="8"/>
  <c r="C94" i="8"/>
  <c r="L93" i="8"/>
  <c r="K93" i="8"/>
  <c r="J93" i="8"/>
  <c r="I93" i="8"/>
  <c r="H93" i="8"/>
  <c r="G93" i="8"/>
  <c r="F93" i="8"/>
  <c r="E93" i="8"/>
  <c r="D93" i="8"/>
  <c r="C93" i="8"/>
  <c r="L89" i="8"/>
  <c r="K89" i="8"/>
  <c r="J89" i="8"/>
  <c r="I89" i="8"/>
  <c r="H89" i="8"/>
  <c r="G89" i="8"/>
  <c r="F89" i="8"/>
  <c r="E89" i="8"/>
  <c r="D89" i="8"/>
  <c r="C89" i="8"/>
  <c r="L88" i="8"/>
  <c r="K88" i="8"/>
  <c r="J88" i="8"/>
  <c r="I88" i="8"/>
  <c r="H88" i="8"/>
  <c r="G88" i="8"/>
  <c r="F88" i="8"/>
  <c r="E88" i="8"/>
  <c r="D88" i="8"/>
  <c r="C88" i="8"/>
  <c r="L87" i="8"/>
  <c r="K87" i="8"/>
  <c r="J87" i="8"/>
  <c r="I87" i="8"/>
  <c r="H87" i="8"/>
  <c r="G87" i="8"/>
  <c r="F87" i="8"/>
  <c r="E87" i="8"/>
  <c r="D87" i="8"/>
  <c r="C87" i="8"/>
  <c r="L86" i="8"/>
  <c r="K86" i="8"/>
  <c r="J86" i="8"/>
  <c r="I86" i="8"/>
  <c r="H86" i="8"/>
  <c r="G86" i="8"/>
  <c r="F86" i="8"/>
  <c r="E86" i="8"/>
  <c r="D86" i="8"/>
  <c r="C86" i="8"/>
  <c r="L85" i="8"/>
  <c r="K85" i="8"/>
  <c r="J85" i="8"/>
  <c r="I85" i="8"/>
  <c r="H85" i="8"/>
  <c r="G85" i="8"/>
  <c r="F85" i="8"/>
  <c r="E85" i="8"/>
  <c r="D85" i="8"/>
  <c r="C85" i="8"/>
  <c r="L84" i="8"/>
  <c r="K84" i="8"/>
  <c r="J84" i="8"/>
  <c r="I84" i="8"/>
  <c r="H84" i="8"/>
  <c r="G84" i="8"/>
  <c r="F84" i="8"/>
  <c r="E84" i="8"/>
  <c r="D84" i="8"/>
  <c r="C84" i="8"/>
  <c r="L83" i="8"/>
  <c r="K83" i="8"/>
  <c r="J83" i="8"/>
  <c r="I83" i="8"/>
  <c r="H83" i="8"/>
  <c r="G83" i="8"/>
  <c r="F83" i="8"/>
  <c r="E83" i="8"/>
  <c r="D83" i="8"/>
  <c r="C83" i="8"/>
  <c r="L82" i="8"/>
  <c r="K82" i="8"/>
  <c r="J82" i="8"/>
  <c r="I82" i="8"/>
  <c r="H82" i="8"/>
  <c r="G82" i="8"/>
  <c r="F82" i="8"/>
  <c r="E82" i="8"/>
  <c r="D82" i="8"/>
  <c r="C82" i="8"/>
  <c r="L81" i="8"/>
  <c r="K81" i="8"/>
  <c r="J81" i="8"/>
  <c r="I81" i="8"/>
  <c r="H81" i="8"/>
  <c r="G81" i="8"/>
  <c r="F81" i="8"/>
  <c r="E81" i="8"/>
  <c r="D81" i="8"/>
  <c r="C81" i="8"/>
  <c r="L80" i="8"/>
  <c r="K80" i="8"/>
  <c r="J80" i="8"/>
  <c r="I80" i="8"/>
  <c r="H80" i="8"/>
  <c r="G80" i="8"/>
  <c r="F80" i="8"/>
  <c r="E80" i="8"/>
  <c r="D80" i="8"/>
  <c r="C80" i="8"/>
  <c r="L76" i="8"/>
  <c r="K76" i="8"/>
  <c r="J76" i="8"/>
  <c r="I76" i="8"/>
  <c r="H76" i="8"/>
  <c r="G76" i="8"/>
  <c r="F76" i="8"/>
  <c r="E76" i="8"/>
  <c r="D76" i="8"/>
  <c r="C76" i="8"/>
  <c r="L75" i="8"/>
  <c r="K75" i="8"/>
  <c r="J75" i="8"/>
  <c r="I75" i="8"/>
  <c r="H75" i="8"/>
  <c r="G75" i="8"/>
  <c r="F75" i="8"/>
  <c r="E75" i="8"/>
  <c r="D75" i="8"/>
  <c r="C75" i="8"/>
  <c r="L74" i="8"/>
  <c r="K74" i="8"/>
  <c r="J74" i="8"/>
  <c r="I74" i="8"/>
  <c r="H74" i="8"/>
  <c r="G74" i="8"/>
  <c r="F74" i="8"/>
  <c r="E74" i="8"/>
  <c r="D74" i="8"/>
  <c r="C74" i="8"/>
  <c r="L73" i="8"/>
  <c r="K73" i="8"/>
  <c r="J73" i="8"/>
  <c r="I73" i="8"/>
  <c r="H73" i="8"/>
  <c r="G73" i="8"/>
  <c r="F73" i="8"/>
  <c r="E73" i="8"/>
  <c r="D73" i="8"/>
  <c r="C73" i="8"/>
  <c r="L72" i="8"/>
  <c r="K72" i="8"/>
  <c r="J72" i="8"/>
  <c r="I72" i="8"/>
  <c r="H72" i="8"/>
  <c r="G72" i="8"/>
  <c r="F72" i="8"/>
  <c r="E72" i="8"/>
  <c r="D72" i="8"/>
  <c r="C72" i="8"/>
  <c r="L71" i="8"/>
  <c r="K71" i="8"/>
  <c r="J71" i="8"/>
  <c r="I71" i="8"/>
  <c r="H71" i="8"/>
  <c r="G71" i="8"/>
  <c r="F71" i="8"/>
  <c r="E71" i="8"/>
  <c r="D71" i="8"/>
  <c r="C71" i="8"/>
  <c r="L70" i="8"/>
  <c r="K70" i="8"/>
  <c r="J70" i="8"/>
  <c r="I70" i="8"/>
  <c r="H70" i="8"/>
  <c r="G70" i="8"/>
  <c r="F70" i="8"/>
  <c r="E70" i="8"/>
  <c r="D70" i="8"/>
  <c r="C70" i="8"/>
  <c r="L57" i="8"/>
  <c r="K57" i="8"/>
  <c r="J57" i="8"/>
  <c r="I57" i="8"/>
  <c r="H57" i="8"/>
  <c r="G57" i="8"/>
  <c r="F57" i="8"/>
  <c r="E57" i="8"/>
  <c r="D57" i="8"/>
  <c r="C57" i="8"/>
  <c r="L62" i="8"/>
  <c r="K62" i="8"/>
  <c r="J62" i="8"/>
  <c r="I62" i="8"/>
  <c r="H62" i="8"/>
  <c r="G62" i="8"/>
  <c r="F62" i="8"/>
  <c r="E62" i="8"/>
  <c r="D62" i="8"/>
  <c r="C62" i="8"/>
  <c r="L61" i="8"/>
  <c r="K61" i="8"/>
  <c r="J61" i="8"/>
  <c r="I61" i="8"/>
  <c r="H61" i="8"/>
  <c r="G61" i="8"/>
  <c r="F61" i="8"/>
  <c r="E61" i="8"/>
  <c r="D61" i="8"/>
  <c r="C61" i="8"/>
  <c r="L60" i="8"/>
  <c r="K60" i="8"/>
  <c r="J60" i="8"/>
  <c r="I60" i="8"/>
  <c r="H60" i="8"/>
  <c r="G60" i="8"/>
  <c r="F60" i="8"/>
  <c r="E60" i="8"/>
  <c r="D60" i="8"/>
  <c r="C60" i="8"/>
  <c r="L56" i="8"/>
  <c r="K56" i="8"/>
  <c r="J56" i="8"/>
  <c r="I56" i="8"/>
  <c r="H56" i="8"/>
  <c r="G56" i="8"/>
  <c r="F56" i="8"/>
  <c r="E56" i="8"/>
  <c r="D56" i="8"/>
  <c r="C56" i="8"/>
  <c r="L55" i="8"/>
  <c r="K55" i="8"/>
  <c r="J55" i="8"/>
  <c r="I55" i="8"/>
  <c r="H55" i="8"/>
  <c r="G55" i="8"/>
  <c r="F55" i="8"/>
  <c r="E55" i="8"/>
  <c r="D55" i="8"/>
  <c r="C55" i="8"/>
  <c r="L54" i="8"/>
  <c r="K54" i="8"/>
  <c r="J54" i="8"/>
  <c r="I54" i="8"/>
  <c r="H54" i="8"/>
  <c r="G54" i="8"/>
  <c r="F54" i="8"/>
  <c r="E54" i="8"/>
  <c r="D54" i="8"/>
  <c r="C54" i="8"/>
  <c r="C49" i="8"/>
  <c r="D49" i="8"/>
  <c r="E49" i="8"/>
  <c r="F49" i="8"/>
  <c r="G49" i="8"/>
  <c r="H49" i="8"/>
  <c r="I49" i="8"/>
  <c r="J49" i="8"/>
  <c r="K49" i="8"/>
  <c r="L49" i="8"/>
  <c r="C50" i="8"/>
  <c r="D50" i="8"/>
  <c r="E50" i="8"/>
  <c r="F50" i="8"/>
  <c r="G50" i="8"/>
  <c r="G40" i="11" s="1"/>
  <c r="H50" i="8"/>
  <c r="I50" i="8"/>
  <c r="J50" i="8"/>
  <c r="K50" i="8"/>
  <c r="L50" i="8"/>
  <c r="C51" i="8"/>
  <c r="D51" i="8"/>
  <c r="E51" i="8"/>
  <c r="F51" i="8"/>
  <c r="G51" i="8"/>
  <c r="H51" i="8"/>
  <c r="I51" i="8"/>
  <c r="J51" i="8"/>
  <c r="K51" i="8"/>
  <c r="L51" i="8"/>
  <c r="C52" i="8"/>
  <c r="D52" i="8"/>
  <c r="E52" i="8"/>
  <c r="F52" i="8"/>
  <c r="G52" i="8"/>
  <c r="H52" i="8"/>
  <c r="I52" i="8"/>
  <c r="J52" i="8"/>
  <c r="K52" i="8"/>
  <c r="L52" i="8"/>
  <c r="L48" i="8"/>
  <c r="K48" i="8"/>
  <c r="J48" i="8"/>
  <c r="I48" i="8"/>
  <c r="H48" i="8"/>
  <c r="G48" i="8"/>
  <c r="F48" i="8"/>
  <c r="E48" i="8"/>
  <c r="D48" i="8"/>
  <c r="C48" i="8"/>
  <c r="N40" i="8"/>
  <c r="M35" i="8"/>
  <c r="M40" i="8" s="1"/>
  <c r="L35" i="8"/>
  <c r="L40" i="8" s="1"/>
  <c r="K35" i="8"/>
  <c r="K40" i="8" s="1"/>
  <c r="J35" i="8"/>
  <c r="J40" i="8" s="1"/>
  <c r="I35" i="8"/>
  <c r="I40" i="8" s="1"/>
  <c r="H35" i="8"/>
  <c r="H40" i="8" s="1"/>
  <c r="G35" i="8"/>
  <c r="G40" i="8" s="1"/>
  <c r="F35" i="8"/>
  <c r="F40" i="8" s="1"/>
  <c r="E35" i="8"/>
  <c r="E40" i="8" s="1"/>
  <c r="F9" i="11" s="1"/>
  <c r="D35" i="8"/>
  <c r="D40" i="8" s="1"/>
  <c r="C35" i="8"/>
  <c r="C40" i="8" s="1"/>
  <c r="M29" i="8"/>
  <c r="L29" i="8"/>
  <c r="K29" i="8"/>
  <c r="J29" i="8"/>
  <c r="I29" i="8"/>
  <c r="H29" i="8"/>
  <c r="G29" i="8"/>
  <c r="F29" i="8"/>
  <c r="E29" i="8"/>
  <c r="D29" i="8"/>
  <c r="C29" i="8"/>
  <c r="M23" i="8"/>
  <c r="L23" i="8"/>
  <c r="K23" i="8"/>
  <c r="J23" i="8"/>
  <c r="I23" i="8"/>
  <c r="H23" i="8"/>
  <c r="G23" i="8"/>
  <c r="F23" i="8"/>
  <c r="E23" i="8"/>
  <c r="D23" i="8"/>
  <c r="C23" i="8"/>
  <c r="M20" i="8"/>
  <c r="L20" i="8"/>
  <c r="K20" i="8"/>
  <c r="J20" i="8"/>
  <c r="I20" i="8"/>
  <c r="H20" i="8"/>
  <c r="G20" i="8"/>
  <c r="F20" i="8"/>
  <c r="E20" i="8"/>
  <c r="D20" i="8"/>
  <c r="C20" i="8"/>
  <c r="M14" i="8"/>
  <c r="L14" i="8"/>
  <c r="K14" i="8"/>
  <c r="J14" i="8"/>
  <c r="I14" i="8"/>
  <c r="H14" i="8"/>
  <c r="G14" i="8"/>
  <c r="F14" i="8"/>
  <c r="E14" i="8"/>
  <c r="D14" i="8"/>
  <c r="C14" i="8"/>
  <c r="M8" i="8"/>
  <c r="L8" i="8"/>
  <c r="K8" i="8"/>
  <c r="J8" i="8"/>
  <c r="I8" i="8"/>
  <c r="H8" i="8"/>
  <c r="G8" i="8"/>
  <c r="F8" i="8"/>
  <c r="E8" i="8"/>
  <c r="D8" i="8"/>
  <c r="C8" i="8"/>
  <c r="M5" i="8"/>
  <c r="L5" i="8"/>
  <c r="K5" i="8"/>
  <c r="J5" i="8"/>
  <c r="I5" i="8"/>
  <c r="I30" i="11" s="1"/>
  <c r="H5" i="8"/>
  <c r="G5" i="8"/>
  <c r="G30" i="11" s="1"/>
  <c r="F5" i="8"/>
  <c r="F30" i="11" s="1"/>
  <c r="E5" i="8"/>
  <c r="D5" i="8"/>
  <c r="D29" i="11" s="1"/>
  <c r="D35" i="11" s="1"/>
  <c r="C5" i="8"/>
  <c r="L3" i="8"/>
  <c r="K3" i="8"/>
  <c r="J3" i="8"/>
  <c r="I3" i="8"/>
  <c r="H3" i="8"/>
  <c r="G3" i="8"/>
  <c r="F3" i="8"/>
  <c r="E3" i="8"/>
  <c r="D3" i="8"/>
  <c r="C3" i="8"/>
  <c r="B2" i="8"/>
  <c r="B6" i="6"/>
  <c r="E1" i="6"/>
  <c r="D63" i="8" l="1"/>
  <c r="E40" i="11"/>
  <c r="F31" i="11"/>
  <c r="L63" i="8"/>
  <c r="H40" i="11"/>
  <c r="F40" i="11"/>
  <c r="E31" i="11"/>
  <c r="D9" i="11"/>
  <c r="K40" i="11"/>
  <c r="J100" i="8"/>
  <c r="H109" i="8"/>
  <c r="I109" i="8"/>
  <c r="G31" i="11"/>
  <c r="I40" i="11"/>
  <c r="L40" i="11"/>
  <c r="C40" i="11"/>
  <c r="D40" i="11"/>
  <c r="C27" i="11"/>
  <c r="C33" i="11" s="1"/>
  <c r="I28" i="11"/>
  <c r="I34" i="11" s="1"/>
  <c r="J109" i="8"/>
  <c r="K31" i="11"/>
  <c r="J31" i="11"/>
  <c r="K109" i="8"/>
  <c r="I29" i="11"/>
  <c r="I35" i="11" s="1"/>
  <c r="G9" i="11"/>
  <c r="D109" i="8"/>
  <c r="L109" i="8"/>
  <c r="L39" i="11"/>
  <c r="D30" i="11"/>
  <c r="D6" i="8"/>
  <c r="D5" i="11" s="1"/>
  <c r="L30" i="11"/>
  <c r="I31" i="11"/>
  <c r="K63" i="8"/>
  <c r="C77" i="8"/>
  <c r="K77" i="8"/>
  <c r="I77" i="8"/>
  <c r="G77" i="8"/>
  <c r="E77" i="8"/>
  <c r="E90" i="8"/>
  <c r="I100" i="8"/>
  <c r="E109" i="8"/>
  <c r="K30" i="11"/>
  <c r="J23" i="14"/>
  <c r="I38" i="14" s="1"/>
  <c r="I41" i="14" s="1"/>
  <c r="J27" i="11"/>
  <c r="J33" i="11" s="1"/>
  <c r="K27" i="11"/>
  <c r="K33" i="11" s="1"/>
  <c r="J9" i="11"/>
  <c r="L27" i="11"/>
  <c r="L33" i="11" s="1"/>
  <c r="K38" i="11"/>
  <c r="C29" i="11"/>
  <c r="C35" i="11" s="1"/>
  <c r="K29" i="11"/>
  <c r="K35" i="11" s="1"/>
  <c r="L38" i="11"/>
  <c r="L9" i="11"/>
  <c r="L29" i="11"/>
  <c r="L35" i="11" s="1"/>
  <c r="C31" i="11"/>
  <c r="D27" i="11"/>
  <c r="D33" i="11" s="1"/>
  <c r="I9" i="11"/>
  <c r="J38" i="11"/>
  <c r="J29" i="11"/>
  <c r="J35" i="11" s="1"/>
  <c r="K9" i="11"/>
  <c r="D28" i="11"/>
  <c r="D34" i="11" s="1"/>
  <c r="C30" i="11"/>
  <c r="C38" i="11"/>
  <c r="J28" i="11"/>
  <c r="J34" i="11" s="1"/>
  <c r="H6" i="8"/>
  <c r="K28" i="11"/>
  <c r="K34" i="11" s="1"/>
  <c r="C15" i="8"/>
  <c r="C17" i="11" s="1"/>
  <c r="H9" i="11"/>
  <c r="I27" i="11"/>
  <c r="I33" i="11" s="1"/>
  <c r="L28" i="11"/>
  <c r="L34" i="11" s="1"/>
  <c r="J30" i="11"/>
  <c r="D38" i="11"/>
  <c r="H29" i="11"/>
  <c r="H35" i="11" s="1"/>
  <c r="H28" i="11"/>
  <c r="H34" i="11" s="1"/>
  <c r="E29" i="11"/>
  <c r="E35" i="11" s="1"/>
  <c r="E28" i="11"/>
  <c r="E34" i="11" s="1"/>
  <c r="E27" i="11"/>
  <c r="E30" i="11"/>
  <c r="E38" i="11"/>
  <c r="E9" i="11"/>
  <c r="F28" i="11"/>
  <c r="F34" i="11" s="1"/>
  <c r="F38" i="11"/>
  <c r="F29" i="11"/>
  <c r="F35" i="11" s="1"/>
  <c r="F27" i="11"/>
  <c r="F33" i="11" s="1"/>
  <c r="H38" i="11"/>
  <c r="H27" i="11"/>
  <c r="H33" i="11" s="1"/>
  <c r="H31" i="11"/>
  <c r="H24" i="8"/>
  <c r="H18" i="11" s="1"/>
  <c r="G38" i="11"/>
  <c r="G27" i="11"/>
  <c r="G33" i="11" s="1"/>
  <c r="G28" i="11"/>
  <c r="G34" i="11" s="1"/>
  <c r="G29" i="11"/>
  <c r="G35" i="11" s="1"/>
  <c r="H30" i="11"/>
  <c r="C28" i="11"/>
  <c r="D31" i="11"/>
  <c r="L31" i="11"/>
  <c r="D15" i="13"/>
  <c r="E14" i="13"/>
  <c r="B16" i="13"/>
  <c r="D16" i="13" s="1"/>
  <c r="E8" i="13"/>
  <c r="E9" i="13"/>
  <c r="E12" i="13"/>
  <c r="E13" i="13"/>
  <c r="E10" i="13"/>
  <c r="E5" i="13"/>
  <c r="E6" i="13"/>
  <c r="C100" i="8"/>
  <c r="L100" i="8"/>
  <c r="E100" i="8"/>
  <c r="H77" i="8"/>
  <c r="J90" i="8"/>
  <c r="H90" i="8"/>
  <c r="G58" i="8"/>
  <c r="C90" i="8"/>
  <c r="I90" i="8"/>
  <c r="G100" i="8"/>
  <c r="K100" i="8"/>
  <c r="D100" i="8"/>
  <c r="C63" i="8"/>
  <c r="F90" i="8"/>
  <c r="F100" i="8"/>
  <c r="I63" i="8"/>
  <c r="K90" i="8"/>
  <c r="G90" i="8"/>
  <c r="J77" i="8"/>
  <c r="F77" i="8"/>
  <c r="D77" i="8"/>
  <c r="L77" i="8"/>
  <c r="D90" i="8"/>
  <c r="L90" i="8"/>
  <c r="H100" i="8"/>
  <c r="K58" i="8"/>
  <c r="K65" i="8" s="1"/>
  <c r="K39" i="11" s="1"/>
  <c r="I6" i="8"/>
  <c r="I58" i="8"/>
  <c r="C11" i="8"/>
  <c r="C12" i="8" s="1"/>
  <c r="C11" i="11" s="1"/>
  <c r="G9" i="8"/>
  <c r="J58" i="8"/>
  <c r="H9" i="8"/>
  <c r="G24" i="8"/>
  <c r="G18" i="11" s="1"/>
  <c r="C58" i="8"/>
  <c r="G63" i="8"/>
  <c r="H58" i="8"/>
  <c r="F58" i="8"/>
  <c r="D58" i="8"/>
  <c r="D65" i="8" s="1"/>
  <c r="D39" i="11" s="1"/>
  <c r="L58" i="8"/>
  <c r="L65" i="8" s="1"/>
  <c r="J63" i="8"/>
  <c r="H63" i="8"/>
  <c r="F63" i="8"/>
  <c r="E58" i="8"/>
  <c r="E63" i="8"/>
  <c r="K11" i="8"/>
  <c r="K12" i="8" s="1"/>
  <c r="F24" i="8"/>
  <c r="F18" i="11" s="1"/>
  <c r="D11" i="8"/>
  <c r="L11" i="8"/>
  <c r="L12" i="8" s="1"/>
  <c r="I9" i="8"/>
  <c r="I24" i="8"/>
  <c r="I18" i="11" s="1"/>
  <c r="F21" i="8"/>
  <c r="J9" i="8"/>
  <c r="E9" i="8"/>
  <c r="M9" i="8"/>
  <c r="G21" i="8"/>
  <c r="L21" i="8"/>
  <c r="I15" i="8"/>
  <c r="I17" i="11" s="1"/>
  <c r="F11" i="8"/>
  <c r="H21" i="8"/>
  <c r="E24" i="8"/>
  <c r="E18" i="11" s="1"/>
  <c r="M24" i="8"/>
  <c r="D21" i="8"/>
  <c r="H15" i="8"/>
  <c r="H17" i="11" s="1"/>
  <c r="E21" i="8"/>
  <c r="M21" i="8"/>
  <c r="G11" i="8"/>
  <c r="G12" i="8" s="1"/>
  <c r="G11" i="11" s="1"/>
  <c r="E15" i="8"/>
  <c r="E17" i="11" s="1"/>
  <c r="M15" i="8"/>
  <c r="I21" i="8"/>
  <c r="J24" i="8"/>
  <c r="J18" i="11" s="1"/>
  <c r="J11" i="8"/>
  <c r="J12" i="8" s="1"/>
  <c r="M11" i="8"/>
  <c r="M12" i="8" s="1"/>
  <c r="F9" i="8"/>
  <c r="E6" i="8"/>
  <c r="E5" i="11" s="1"/>
  <c r="H11" i="8"/>
  <c r="H12" i="8" s="1"/>
  <c r="D15" i="8"/>
  <c r="D17" i="11" s="1"/>
  <c r="F15" i="8"/>
  <c r="F17" i="11" s="1"/>
  <c r="J21" i="8"/>
  <c r="C24" i="8"/>
  <c r="C18" i="11" s="1"/>
  <c r="K24" i="8"/>
  <c r="K18" i="11" s="1"/>
  <c r="E11" i="8"/>
  <c r="E12" i="8" s="1"/>
  <c r="E11" i="11" s="1"/>
  <c r="M6" i="8"/>
  <c r="L15" i="8"/>
  <c r="L17" i="11" s="1"/>
  <c r="I11" i="8"/>
  <c r="I12" i="8" s="1"/>
  <c r="G6" i="8"/>
  <c r="G5" i="11" s="1"/>
  <c r="G15" i="8"/>
  <c r="G17" i="11" s="1"/>
  <c r="C21" i="8"/>
  <c r="K21" i="8"/>
  <c r="D24" i="8"/>
  <c r="D18" i="11" s="1"/>
  <c r="L24" i="8"/>
  <c r="L18" i="11" s="1"/>
  <c r="J6" i="8"/>
  <c r="D9" i="8"/>
  <c r="K9" i="8"/>
  <c r="C9" i="8"/>
  <c r="F6" i="8"/>
  <c r="F5" i="11" s="1"/>
  <c r="J15" i="8"/>
  <c r="J17" i="11" s="1"/>
  <c r="L9" i="8"/>
  <c r="K15" i="8"/>
  <c r="K17" i="11" s="1"/>
  <c r="K6" i="8"/>
  <c r="L6" i="8"/>
  <c r="I36" i="11" l="1"/>
  <c r="J65" i="8"/>
  <c r="J39" i="11" s="1"/>
  <c r="L36" i="11"/>
  <c r="N40" i="11"/>
  <c r="N9" i="11"/>
  <c r="D36" i="11"/>
  <c r="O40" i="11"/>
  <c r="J36" i="11"/>
  <c r="H36" i="11"/>
  <c r="K36" i="11"/>
  <c r="F65" i="8"/>
  <c r="F39" i="11" s="1"/>
  <c r="H65" i="8"/>
  <c r="H39" i="11" s="1"/>
  <c r="J5" i="11"/>
  <c r="H11" i="11"/>
  <c r="O38" i="11"/>
  <c r="I65" i="8"/>
  <c r="I39" i="11" s="1"/>
  <c r="D12" i="8"/>
  <c r="D11" i="11" s="1"/>
  <c r="I5" i="11"/>
  <c r="H5" i="11"/>
  <c r="J11" i="11"/>
  <c r="L11" i="11"/>
  <c r="O17" i="11"/>
  <c r="K5" i="11"/>
  <c r="L5" i="11"/>
  <c r="I11" i="11"/>
  <c r="K11" i="11"/>
  <c r="O9" i="11"/>
  <c r="I39" i="14"/>
  <c r="N38" i="11"/>
  <c r="O30" i="11"/>
  <c r="C17" i="8"/>
  <c r="E15" i="13"/>
  <c r="N17" i="11"/>
  <c r="O31" i="11"/>
  <c r="N31" i="11"/>
  <c r="F17" i="8"/>
  <c r="F12" i="8"/>
  <c r="F11" i="11" s="1"/>
  <c r="C34" i="11"/>
  <c r="C36" i="11" s="1"/>
  <c r="N28" i="11"/>
  <c r="O28" i="11"/>
  <c r="N18" i="11"/>
  <c r="O18" i="11"/>
  <c r="N27" i="11"/>
  <c r="N29" i="11"/>
  <c r="O29" i="11"/>
  <c r="G36" i="11"/>
  <c r="N30" i="11"/>
  <c r="F36" i="11"/>
  <c r="O27" i="11"/>
  <c r="E33" i="11"/>
  <c r="E36" i="11" s="1"/>
  <c r="O35" i="11"/>
  <c r="N35" i="11"/>
  <c r="B17" i="13"/>
  <c r="D17" i="13" s="1"/>
  <c r="E16" i="13"/>
  <c r="D17" i="8"/>
  <c r="E65" i="8"/>
  <c r="E39" i="11" s="1"/>
  <c r="G65" i="8"/>
  <c r="G39" i="11" s="1"/>
  <c r="C65" i="8"/>
  <c r="C39" i="11" s="1"/>
  <c r="K17" i="8"/>
  <c r="L17" i="8"/>
  <c r="L18" i="8" s="1"/>
  <c r="J17" i="8"/>
  <c r="I17" i="8"/>
  <c r="H17" i="8"/>
  <c r="G17" i="8"/>
  <c r="F102" i="6" s="1"/>
  <c r="E17" i="8"/>
  <c r="D102" i="6" s="1"/>
  <c r="M17" i="8"/>
  <c r="O5" i="11" l="1"/>
  <c r="N5" i="11"/>
  <c r="H102" i="6"/>
  <c r="D41" i="20"/>
  <c r="C102" i="6"/>
  <c r="D18" i="8"/>
  <c r="D12" i="11" s="1"/>
  <c r="C41" i="20"/>
  <c r="G102" i="6"/>
  <c r="C21" i="11"/>
  <c r="B102" i="6"/>
  <c r="C13" i="11"/>
  <c r="C19" i="11" s="1"/>
  <c r="C26" i="8"/>
  <c r="C30" i="8" s="1"/>
  <c r="K102" i="6"/>
  <c r="G41" i="20"/>
  <c r="F41" i="20"/>
  <c r="J102" i="6"/>
  <c r="F18" i="8"/>
  <c r="F12" i="11" s="1"/>
  <c r="E102" i="6"/>
  <c r="I102" i="6"/>
  <c r="E41" i="20"/>
  <c r="C18" i="8"/>
  <c r="C12" i="11" s="1"/>
  <c r="L12" i="11"/>
  <c r="N39" i="11"/>
  <c r="O39" i="11"/>
  <c r="N11" i="11"/>
  <c r="N33" i="11"/>
  <c r="C25" i="11"/>
  <c r="O33" i="11"/>
  <c r="G26" i="8"/>
  <c r="G27" i="8" s="1"/>
  <c r="G14" i="11" s="1"/>
  <c r="G6" i="11"/>
  <c r="G13" i="11"/>
  <c r="G19" i="11" s="1"/>
  <c r="G25" i="11"/>
  <c r="G21" i="11"/>
  <c r="L26" i="8"/>
  <c r="L21" i="11"/>
  <c r="L25" i="11"/>
  <c r="L6" i="11"/>
  <c r="L13" i="11"/>
  <c r="L19" i="11" s="1"/>
  <c r="I4" i="13" a="1"/>
  <c r="I6" i="11"/>
  <c r="I21" i="11"/>
  <c r="I13" i="11"/>
  <c r="I19" i="11" s="1"/>
  <c r="I25" i="11"/>
  <c r="O34" i="11"/>
  <c r="N34" i="11"/>
  <c r="E25" i="11"/>
  <c r="E13" i="11"/>
  <c r="E19" i="11" s="1"/>
  <c r="E6" i="11"/>
  <c r="E21" i="11"/>
  <c r="J21" i="11"/>
  <c r="J25" i="11"/>
  <c r="J6" i="11"/>
  <c r="J13" i="11"/>
  <c r="J19" i="11" s="1"/>
  <c r="H26" i="8"/>
  <c r="H32" i="8" s="1"/>
  <c r="G108" i="6" s="1"/>
  <c r="H13" i="11"/>
  <c r="H19" i="11" s="1"/>
  <c r="H6" i="11"/>
  <c r="H21" i="11"/>
  <c r="H25" i="11"/>
  <c r="K26" i="8"/>
  <c r="K27" i="8" s="1"/>
  <c r="K14" i="11" s="1"/>
  <c r="K21" i="11"/>
  <c r="K25" i="11"/>
  <c r="K6" i="11"/>
  <c r="K13" i="11"/>
  <c r="K19" i="11" s="1"/>
  <c r="N36" i="11"/>
  <c r="O36" i="11"/>
  <c r="D26" i="8"/>
  <c r="D25" i="11"/>
  <c r="D21" i="11"/>
  <c r="D6" i="11"/>
  <c r="D13" i="11"/>
  <c r="D19" i="11" s="1"/>
  <c r="F26" i="8"/>
  <c r="F13" i="11"/>
  <c r="F19" i="11" s="1"/>
  <c r="F25" i="11"/>
  <c r="F6" i="11"/>
  <c r="F21" i="11"/>
  <c r="O11" i="11"/>
  <c r="E17" i="13"/>
  <c r="K18" i="8"/>
  <c r="G18" i="8"/>
  <c r="G12" i="11" s="1"/>
  <c r="E26" i="8"/>
  <c r="E18" i="8"/>
  <c r="E12" i="11" s="1"/>
  <c r="I18" i="8"/>
  <c r="I26" i="8"/>
  <c r="H18" i="8"/>
  <c r="J26" i="8"/>
  <c r="J7" i="11" s="1"/>
  <c r="J18" i="8"/>
  <c r="M26" i="8"/>
  <c r="M18" i="8"/>
  <c r="C27" i="8" l="1"/>
  <c r="C14" i="11" s="1"/>
  <c r="E7" i="11"/>
  <c r="N21" i="11"/>
  <c r="C32" i="8"/>
  <c r="C23" i="11" s="1"/>
  <c r="D51" i="20"/>
  <c r="D53" i="20" s="1"/>
  <c r="D57" i="20" s="1"/>
  <c r="D43" i="20"/>
  <c r="D66" i="20" s="1"/>
  <c r="F51" i="20"/>
  <c r="F53" i="20" s="1"/>
  <c r="F57" i="20" s="1"/>
  <c r="F65" i="20" s="1"/>
  <c r="F43" i="20"/>
  <c r="F66" i="20" s="1"/>
  <c r="K12" i="11"/>
  <c r="C51" i="20"/>
  <c r="C53" i="20" s="1"/>
  <c r="C43" i="20"/>
  <c r="I12" i="11"/>
  <c r="H12" i="11"/>
  <c r="E51" i="20"/>
  <c r="E53" i="20" s="1"/>
  <c r="E57" i="20" s="1"/>
  <c r="E65" i="20" s="1"/>
  <c r="E43" i="20"/>
  <c r="E66" i="20" s="1"/>
  <c r="G51" i="20"/>
  <c r="G53" i="20" s="1"/>
  <c r="G57" i="20" s="1"/>
  <c r="G65" i="20" s="1"/>
  <c r="G43" i="20"/>
  <c r="G66" i="20" s="1"/>
  <c r="H30" i="8"/>
  <c r="J12" i="11"/>
  <c r="G30" i="8"/>
  <c r="O25" i="11"/>
  <c r="O21" i="11"/>
  <c r="I7" i="11"/>
  <c r="N25" i="11"/>
  <c r="G32" i="8"/>
  <c r="H8" i="11" s="1"/>
  <c r="G7" i="11"/>
  <c r="F27" i="8"/>
  <c r="F14" i="11" s="1"/>
  <c r="F7" i="11"/>
  <c r="F32" i="8"/>
  <c r="E108" i="6" s="1"/>
  <c r="K30" i="8"/>
  <c r="K7" i="11"/>
  <c r="I4" i="13"/>
  <c r="I7" i="13"/>
  <c r="I6" i="13"/>
  <c r="I13" i="13"/>
  <c r="I12" i="13"/>
  <c r="I5" i="13"/>
  <c r="I11" i="13"/>
  <c r="I10" i="13"/>
  <c r="I9" i="13"/>
  <c r="I8" i="13"/>
  <c r="K32" i="8"/>
  <c r="N6" i="11"/>
  <c r="O6" i="11"/>
  <c r="H7" i="11"/>
  <c r="O13" i="11"/>
  <c r="H23" i="11"/>
  <c r="D30" i="8"/>
  <c r="D7" i="11"/>
  <c r="D27" i="8"/>
  <c r="D14" i="11" s="1"/>
  <c r="D32" i="8"/>
  <c r="C108" i="6" s="1"/>
  <c r="N13" i="11"/>
  <c r="F30" i="8"/>
  <c r="H27" i="8"/>
  <c r="H14" i="11" s="1"/>
  <c r="L30" i="8"/>
  <c r="L7" i="11"/>
  <c r="L27" i="8"/>
  <c r="L14" i="11" s="1"/>
  <c r="L32" i="8"/>
  <c r="K108" i="6" s="1"/>
  <c r="N19" i="11"/>
  <c r="O19" i="11"/>
  <c r="M32" i="8"/>
  <c r="M27" i="8"/>
  <c r="M30" i="8"/>
  <c r="I32" i="8"/>
  <c r="H108" i="6" s="1"/>
  <c r="I27" i="8"/>
  <c r="I14" i="11" s="1"/>
  <c r="I30" i="8"/>
  <c r="E32" i="8"/>
  <c r="D108" i="6" s="1"/>
  <c r="E27" i="8"/>
  <c r="E14" i="11" s="1"/>
  <c r="E30" i="8"/>
  <c r="J32" i="8"/>
  <c r="I108" i="6" s="1"/>
  <c r="J27" i="8"/>
  <c r="J14" i="11" s="1"/>
  <c r="J30" i="8"/>
  <c r="H33" i="8"/>
  <c r="H37" i="8"/>
  <c r="N12" i="11" l="1"/>
  <c r="G68" i="20"/>
  <c r="O12" i="11"/>
  <c r="J108" i="6"/>
  <c r="K37" i="8"/>
  <c r="G23" i="11"/>
  <c r="F108" i="6"/>
  <c r="G37" i="8"/>
  <c r="G41" i="8" s="1"/>
  <c r="G43" i="8" s="1"/>
  <c r="G22" i="11" s="1"/>
  <c r="G24" i="11" s="1"/>
  <c r="E68" i="20"/>
  <c r="F68" i="20"/>
  <c r="D65" i="20"/>
  <c r="D68" i="20" s="1"/>
  <c r="G60" i="20"/>
  <c r="C8" i="21" s="1"/>
  <c r="G59" i="20"/>
  <c r="H15" i="11"/>
  <c r="B108" i="6"/>
  <c r="C37" i="8"/>
  <c r="C41" i="8" s="1"/>
  <c r="C33" i="8"/>
  <c r="C15" i="11" s="1"/>
  <c r="G33" i="8"/>
  <c r="G15" i="11" s="1"/>
  <c r="J6" i="13"/>
  <c r="E23" i="11"/>
  <c r="E8" i="11"/>
  <c r="J13" i="13"/>
  <c r="F23" i="11"/>
  <c r="F33" i="8"/>
  <c r="F15" i="11" s="1"/>
  <c r="F8" i="11"/>
  <c r="F37" i="8"/>
  <c r="L23" i="11"/>
  <c r="L8" i="11"/>
  <c r="L37" i="8"/>
  <c r="L33" i="8"/>
  <c r="K8" i="11"/>
  <c r="K23" i="11"/>
  <c r="K33" i="8"/>
  <c r="N7" i="11"/>
  <c r="O7" i="11"/>
  <c r="J9" i="13"/>
  <c r="J8" i="13"/>
  <c r="I14" i="13"/>
  <c r="J14" i="13" s="1"/>
  <c r="I15" i="13"/>
  <c r="I16" i="13"/>
  <c r="I17" i="13"/>
  <c r="J10" i="13"/>
  <c r="J8" i="11"/>
  <c r="J23" i="11"/>
  <c r="G8" i="11"/>
  <c r="J12" i="13"/>
  <c r="J11" i="13"/>
  <c r="D23" i="11"/>
  <c r="D8" i="11"/>
  <c r="D33" i="8"/>
  <c r="D15" i="11" s="1"/>
  <c r="D37" i="8"/>
  <c r="D41" i="8" s="1"/>
  <c r="O14" i="11"/>
  <c r="N14" i="11"/>
  <c r="J7" i="13"/>
  <c r="I8" i="11"/>
  <c r="I23" i="11"/>
  <c r="J5" i="13"/>
  <c r="H41" i="8"/>
  <c r="H43" i="8" s="1"/>
  <c r="H22" i="11" s="1"/>
  <c r="H24" i="11" s="1"/>
  <c r="E37" i="8"/>
  <c r="E33" i="8"/>
  <c r="E15" i="11" s="1"/>
  <c r="I33" i="8"/>
  <c r="I37" i="8"/>
  <c r="J37" i="8"/>
  <c r="J33" i="8"/>
  <c r="M37" i="8"/>
  <c r="M33" i="8"/>
  <c r="I15" i="11" l="1"/>
  <c r="J15" i="13"/>
  <c r="G70" i="20"/>
  <c r="G71" i="20"/>
  <c r="C16" i="21" s="1"/>
  <c r="D5" i="21" s="1"/>
  <c r="L15" i="11"/>
  <c r="C43" i="8"/>
  <c r="C22" i="11" s="1"/>
  <c r="C24" i="11" s="1"/>
  <c r="H38" i="8"/>
  <c r="J15" i="11"/>
  <c r="K15" i="11"/>
  <c r="K43" i="8"/>
  <c r="K22" i="11" s="1"/>
  <c r="K24" i="11" s="1"/>
  <c r="J16" i="13"/>
  <c r="C9" i="21"/>
  <c r="D8" i="21"/>
  <c r="E8" i="21" s="1"/>
  <c r="F8" i="21" s="1"/>
  <c r="G8" i="21" s="1"/>
  <c r="H8" i="21" s="1"/>
  <c r="J17" i="13"/>
  <c r="N23" i="11"/>
  <c r="O23" i="11"/>
  <c r="L41" i="8"/>
  <c r="L43" i="8" s="1"/>
  <c r="L22" i="11" s="1"/>
  <c r="L24" i="11" s="1"/>
  <c r="L38" i="8"/>
  <c r="K41" i="8"/>
  <c r="F41" i="8"/>
  <c r="F43" i="8" s="1"/>
  <c r="F22" i="11" s="1"/>
  <c r="F24" i="11" s="1"/>
  <c r="D43" i="8"/>
  <c r="D22" i="11" s="1"/>
  <c r="N4" i="13" a="1"/>
  <c r="D38" i="8"/>
  <c r="G38" i="8"/>
  <c r="N8" i="11"/>
  <c r="O8" i="11"/>
  <c r="E38" i="8"/>
  <c r="E41" i="8"/>
  <c r="E43" i="8" s="1"/>
  <c r="E22" i="11" s="1"/>
  <c r="E24" i="11" s="1"/>
  <c r="F38" i="8"/>
  <c r="M43" i="8"/>
  <c r="M41" i="8"/>
  <c r="J38" i="8"/>
  <c r="J43" i="8"/>
  <c r="J22" i="11" s="1"/>
  <c r="J24" i="11" s="1"/>
  <c r="J41" i="8"/>
  <c r="K38" i="8"/>
  <c r="I38" i="8"/>
  <c r="I41" i="8"/>
  <c r="I43" i="8" s="1"/>
  <c r="I22" i="11" s="1"/>
  <c r="I24" i="11" s="1"/>
  <c r="N15" i="11" l="1"/>
  <c r="O15" i="11"/>
  <c r="E5" i="21"/>
  <c r="D7" i="21"/>
  <c r="D9" i="21" s="1"/>
  <c r="D13" i="21" s="1"/>
  <c r="D24" i="11"/>
  <c r="O22" i="11"/>
  <c r="N22" i="11"/>
  <c r="N4" i="13"/>
  <c r="N9" i="13"/>
  <c r="N12" i="13"/>
  <c r="N8" i="13"/>
  <c r="N7" i="13"/>
  <c r="N6" i="13"/>
  <c r="N11" i="13"/>
  <c r="N10" i="13"/>
  <c r="N13" i="13"/>
  <c r="N5" i="13"/>
  <c r="O5" i="13" l="1"/>
  <c r="O12" i="13"/>
  <c r="F5" i="21"/>
  <c r="E7" i="21"/>
  <c r="E9" i="21" s="1"/>
  <c r="E13" i="21" s="1"/>
  <c r="O6" i="13"/>
  <c r="O24" i="11"/>
  <c r="N24" i="11"/>
  <c r="O7" i="13"/>
  <c r="O8" i="13"/>
  <c r="O9" i="13"/>
  <c r="O13" i="13"/>
  <c r="N16" i="13"/>
  <c r="N17" i="13"/>
  <c r="N14" i="13"/>
  <c r="O14" i="13" s="1"/>
  <c r="N15" i="13"/>
  <c r="O10" i="13"/>
  <c r="O11" i="13"/>
  <c r="O16" i="13" l="1"/>
  <c r="G5" i="21"/>
  <c r="F7" i="21"/>
  <c r="F9" i="21" s="1"/>
  <c r="F13" i="21" s="1"/>
  <c r="O15" i="13"/>
  <c r="O17" i="13"/>
  <c r="H5" i="21" l="1"/>
  <c r="H7" i="21" s="1"/>
  <c r="H9" i="21" s="1"/>
  <c r="G7" i="21"/>
  <c r="G9" i="21" s="1"/>
  <c r="G13" i="21" s="1"/>
  <c r="C23" i="21" l="1"/>
  <c r="H13" i="21"/>
  <c r="C32" i="21" s="1"/>
  <c r="C27" i="21" l="1"/>
  <c r="F18" i="21" s="1"/>
  <c r="C33" i="21" l="1"/>
  <c r="C34" i="21" s="1"/>
  <c r="C38" i="21" s="1"/>
  <c r="C41" i="21" s="1"/>
</calcChain>
</file>

<file path=xl/sharedStrings.xml><?xml version="1.0" encoding="utf-8"?>
<sst xmlns="http://schemas.openxmlformats.org/spreadsheetml/2006/main" count="500" uniqueCount="359">
  <si>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</si>
  <si>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</si>
  <si>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</si>
  <si>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</si>
  <si>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</si>
  <si>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</si>
  <si>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</si>
  <si>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</si>
  <si>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</si>
  <si>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</si>
  <si>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</si>
  <si>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</si>
  <si>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</si>
  <si>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</si>
  <si>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</si>
  <si>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</si>
  <si>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</si>
  <si>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</si>
  <si>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</si>
  <si>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</si>
  <si>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</si>
  <si>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</si>
  <si>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</si>
  <si>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</si>
  <si>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</si>
  <si>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</si>
  <si>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</si>
  <si>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</si>
  <si>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</si>
  <si>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</si>
  <si>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</si>
  <si>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</si>
  <si>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STEEL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</si>
  <si>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</si>
  <si>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</si>
  <si>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</si>
  <si>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</si>
  <si>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</si>
  <si>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</si>
  <si>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</si>
  <si>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</si>
  <si>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</si>
  <si>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</si>
  <si>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</si>
  <si>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</si>
  <si>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</si>
  <si>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</si>
  <si>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</si>
  <si>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</si>
  <si>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</si>
  <si>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</si>
  <si>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</si>
  <si>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</si>
  <si>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</si>
  <si>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</si>
  <si>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</si>
  <si>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</si>
  <si>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</si>
  <si>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Sale Growth</t>
  </si>
  <si>
    <t>-</t>
  </si>
  <si>
    <t>COGS</t>
  </si>
  <si>
    <t>COGS % Sales</t>
  </si>
  <si>
    <t>Gross Profit</t>
  </si>
  <si>
    <t>Selling and General Expenses</t>
  </si>
  <si>
    <t>S&amp;G Exp % Sales</t>
  </si>
  <si>
    <t>EBITDA</t>
  </si>
  <si>
    <t>EBITDA Margin</t>
  </si>
  <si>
    <t>Deprication</t>
  </si>
  <si>
    <t>Interest % Sales</t>
  </si>
  <si>
    <t>Deprication % Sales</t>
  </si>
  <si>
    <t>EBT/ Profit</t>
  </si>
  <si>
    <t>EBT % Sales</t>
  </si>
  <si>
    <t>Effective Tax Rate</t>
  </si>
  <si>
    <t>Net Profit</t>
  </si>
  <si>
    <t>Net margin</t>
  </si>
  <si>
    <t>Earning Per Share</t>
  </si>
  <si>
    <t>Dividend Per Share</t>
  </si>
  <si>
    <t>Earning Growth %</t>
  </si>
  <si>
    <t>Dividend Payout Ratio</t>
  </si>
  <si>
    <t>Reatined Earning</t>
  </si>
  <si>
    <t>Balance Sheet</t>
  </si>
  <si>
    <t>Total Non-Current Assets</t>
  </si>
  <si>
    <t>Total Liabilities</t>
  </si>
  <si>
    <t>Total Current Assets</t>
  </si>
  <si>
    <t>Total Assets</t>
  </si>
  <si>
    <t>Cash from Operating Activity -</t>
  </si>
  <si>
    <t>Profit from operations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</si>
  <si>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</si>
  <si>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</si>
  <si>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</si>
  <si>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</si>
  <si>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</si>
  <si>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</si>
  <si>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</si>
  <si>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</si>
  <si>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</si>
  <si>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</si>
  <si>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</si>
  <si>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</si>
  <si>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</si>
  <si>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</si>
  <si>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</si>
  <si>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</si>
  <si>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</si>
  <si>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</si>
  <si>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</si>
  <si>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</si>
  <si>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</si>
  <si>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</si>
  <si>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</si>
  <si>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</t>
  </si>
  <si>
    <t>Operating Activities</t>
  </si>
  <si>
    <t>Cash From Opeating Activites</t>
  </si>
  <si>
    <t>Investing Activites</t>
  </si>
  <si>
    <t>Cash From Investing Activites</t>
  </si>
  <si>
    <t>Financing Activites</t>
  </si>
  <si>
    <t>Cash From Financing Activites</t>
  </si>
  <si>
    <t>Sales Growth</t>
  </si>
  <si>
    <t>EBITDA Growth</t>
  </si>
  <si>
    <t>EBIT Growth</t>
  </si>
  <si>
    <t>Net Profit Growth</t>
  </si>
  <si>
    <t>Dividend Growth</t>
  </si>
  <si>
    <t>Gross Margin</t>
  </si>
  <si>
    <t>EBIT Margin</t>
  </si>
  <si>
    <t>EBT Margin</t>
  </si>
  <si>
    <t>Net Profit Margin</t>
  </si>
  <si>
    <t>SalesExpenses%Sale</t>
  </si>
  <si>
    <t>Depreciation%Sale</t>
  </si>
  <si>
    <t>OperatingIncome%Sale</t>
  </si>
  <si>
    <t>Return on Capital Employed</t>
  </si>
  <si>
    <t>Retained Earning %</t>
  </si>
  <si>
    <t xml:space="preserve">Return On Equity Share </t>
  </si>
  <si>
    <t>Self Substained Growth rate</t>
  </si>
  <si>
    <t>Interest Coverage Ratio</t>
  </si>
  <si>
    <t>Debtor Turnover Ratio</t>
  </si>
  <si>
    <t>Creditors Turnover Ratio</t>
  </si>
  <si>
    <t>Inventory Turnover Ratio</t>
  </si>
  <si>
    <t>Capital Turnover Ratio</t>
  </si>
  <si>
    <t>Fixed Assets Turnover Ratio</t>
  </si>
  <si>
    <t>Debtors days</t>
  </si>
  <si>
    <t>Inventory days</t>
  </si>
  <si>
    <t>Payable days</t>
  </si>
  <si>
    <t>CFO/Sales</t>
  </si>
  <si>
    <t>CFO/Total Assets</t>
  </si>
  <si>
    <t>CFO/Total Debt</t>
  </si>
  <si>
    <t>Cash Conversion Cycle (in days)</t>
  </si>
  <si>
    <t>Mean</t>
  </si>
  <si>
    <t>Median</t>
  </si>
  <si>
    <t>Trend</t>
  </si>
  <si>
    <t>Year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</si>
  <si>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</si>
  <si>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</si>
  <si>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</si>
  <si>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</si>
  <si>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</si>
  <si>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</si>
  <si>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</si>
  <si>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</si>
  <si>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</si>
  <si>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</si>
  <si>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</si>
  <si>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</si>
  <si>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</si>
  <si>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</si>
  <si>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</si>
  <si>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</si>
  <si>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</si>
  <si>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</si>
  <si>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</si>
  <si>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</si>
  <si>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</si>
  <si>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</si>
  <si>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</si>
  <si>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Growth Year</t>
  </si>
  <si>
    <t>Weighted average cost of captial</t>
  </si>
  <si>
    <t>Peer comps</t>
  </si>
  <si>
    <t>Name of the company</t>
  </si>
  <si>
    <t>Country</t>
  </si>
  <si>
    <t>Total Debt</t>
  </si>
  <si>
    <t>Total Equity</t>
  </si>
  <si>
    <t>Debt/</t>
  </si>
  <si>
    <t>Equity</t>
  </si>
  <si>
    <t>Capital</t>
  </si>
  <si>
    <t>Levered</t>
  </si>
  <si>
    <t>Unleverd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</si>
  <si>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</si>
  <si>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</si>
  <si>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</si>
  <si>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India</t>
  </si>
  <si>
    <t>Average</t>
  </si>
  <si>
    <t>Cost of debt</t>
  </si>
  <si>
    <t>Pre tax cost of debt</t>
  </si>
  <si>
    <t>Tax rate</t>
  </si>
  <si>
    <t>Post tax Cost of debt</t>
  </si>
  <si>
    <t>Cost of Equity</t>
  </si>
  <si>
    <t>Risk free rate</t>
  </si>
  <si>
    <t>Equity risk Premium</t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</si>
  <si>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</si>
  <si>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</si>
  <si>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</si>
  <si>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</si>
  <si>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</si>
  <si>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</si>
  <si>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debt/equity</t>
  </si>
  <si>
    <t>tax rate</t>
  </si>
  <si>
    <t>Targeted Debt/equity</t>
  </si>
  <si>
    <t>Weighted Average Cost of capital</t>
  </si>
  <si>
    <t>Debt</t>
  </si>
  <si>
    <t>Total Cost</t>
  </si>
  <si>
    <t>Total weight</t>
  </si>
  <si>
    <t>JSW  Steel</t>
  </si>
  <si>
    <t>Steel Authority of India</t>
  </si>
  <si>
    <t>Jindal Steel &amp; Power</t>
  </si>
  <si>
    <t>Jindal Stainless</t>
  </si>
  <si>
    <t>Tata Steel</t>
  </si>
  <si>
    <t>Jindal Steel</t>
  </si>
  <si>
    <t>Month</t>
  </si>
  <si>
    <t>Return</t>
  </si>
  <si>
    <t>Closing price</t>
  </si>
  <si>
    <t xml:space="preserve">Nifty </t>
  </si>
  <si>
    <t xml:space="preserve">Beta </t>
  </si>
  <si>
    <t>Beta Drafiting</t>
  </si>
  <si>
    <t>Adjusted Beta</t>
  </si>
  <si>
    <t>Levered Raw beta</t>
  </si>
  <si>
    <t>Raw beta weight</t>
  </si>
  <si>
    <t>market beta</t>
  </si>
  <si>
    <t>Market Beta weight</t>
  </si>
  <si>
    <t>sep</t>
  </si>
  <si>
    <t>Annual</t>
  </si>
  <si>
    <t>Return on Market</t>
  </si>
  <si>
    <t>Average Return</t>
  </si>
  <si>
    <t>Dividend Yield</t>
  </si>
  <si>
    <t>Total Return on Market</t>
  </si>
  <si>
    <r>
      <t xml:space="preserve">2.92% 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</si>
  <si>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</si>
  <si>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WACC</t>
  </si>
  <si>
    <t xml:space="preserve"> Debt</t>
  </si>
  <si>
    <t>Particular</t>
  </si>
  <si>
    <t>Total Liabalities</t>
  </si>
  <si>
    <t>Equity Capital</t>
  </si>
  <si>
    <t>Long term Borrowings</t>
  </si>
  <si>
    <t>Short term Borrowings</t>
  </si>
  <si>
    <t>Lease Liabilities</t>
  </si>
  <si>
    <t>Preference Capital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</si>
  <si>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</si>
  <si>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</si>
  <si>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</si>
  <si>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</si>
  <si>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</si>
  <si>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</si>
  <si>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</si>
  <si>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</si>
  <si>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</si>
  <si>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</si>
  <si>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</si>
  <si>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</si>
  <si>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</si>
  <si>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</si>
  <si>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</si>
  <si>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</si>
  <si>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</si>
  <si>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</si>
  <si>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</si>
  <si>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</si>
  <si>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</si>
  <si>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</si>
  <si>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</si>
  <si>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</si>
  <si>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</si>
  <si>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 xml:space="preserve">Total Borrowings </t>
  </si>
  <si>
    <t xml:space="preserve">Other Liabilities </t>
  </si>
  <si>
    <t xml:space="preserve">Trade receivables </t>
  </si>
  <si>
    <t xml:space="preserve">Fixed Assets </t>
  </si>
  <si>
    <t>Calculation ROIC</t>
  </si>
  <si>
    <t>Current Assets</t>
  </si>
  <si>
    <t>Current Liabilites</t>
  </si>
  <si>
    <t>Total Current Liabilities</t>
  </si>
  <si>
    <t>Net Working Capital</t>
  </si>
  <si>
    <t>Non-Current Assets</t>
  </si>
  <si>
    <t>Invested Capital</t>
  </si>
  <si>
    <t>Net Non-Current Assets</t>
  </si>
  <si>
    <t>EBIT</t>
  </si>
  <si>
    <t>ROIC</t>
  </si>
  <si>
    <t>Net Capex</t>
  </si>
  <si>
    <t>Change In working Capital</t>
  </si>
  <si>
    <t>Marginal Tax Rate</t>
  </si>
  <si>
    <t>EBIT(1-Tax)</t>
  </si>
  <si>
    <t>Reinvestment</t>
  </si>
  <si>
    <t>Reinvestment Rate</t>
  </si>
  <si>
    <t>Calculation Of Growth</t>
  </si>
  <si>
    <t xml:space="preserve">Intrinsic Growth </t>
  </si>
  <si>
    <t>Calculation of Reinvestment Rate</t>
  </si>
  <si>
    <t>Less: Reinvestment Rate</t>
  </si>
  <si>
    <t>Free Cash Flow to Firm(FCFF)</t>
  </si>
  <si>
    <t>Expected Growth</t>
  </si>
  <si>
    <t>Terminal Growth</t>
  </si>
  <si>
    <t>Mid Year Convention</t>
  </si>
  <si>
    <t>Discounting Factor</t>
  </si>
  <si>
    <t>Pv of FCFF</t>
  </si>
  <si>
    <t>Calculation of PV of FCFF</t>
  </si>
  <si>
    <t>Calculation Of Terminal value</t>
  </si>
  <si>
    <t>FCFF(n+1)</t>
  </si>
  <si>
    <t>Terminal Growth Rate</t>
  </si>
  <si>
    <t>Terminal Value</t>
  </si>
  <si>
    <t>Calculation Of Equity Value Per Share</t>
  </si>
  <si>
    <t>PV of FCFF</t>
  </si>
  <si>
    <t>Present Value of Terminal Value</t>
  </si>
  <si>
    <t>Value of Operating Assets</t>
  </si>
  <si>
    <t>Add: Cash</t>
  </si>
  <si>
    <t>Less: Debt</t>
  </si>
  <si>
    <t>Value of Equity</t>
  </si>
  <si>
    <t>No. of Share</t>
  </si>
  <si>
    <t>Equity Value Per Share</t>
  </si>
  <si>
    <t>Company</t>
  </si>
  <si>
    <t>Ticker</t>
  </si>
  <si>
    <t>Share Price</t>
  </si>
  <si>
    <t>Share Outstanding</t>
  </si>
  <si>
    <t>Equity Value</t>
  </si>
  <si>
    <t>Net debt</t>
  </si>
  <si>
    <t>Enterprise value</t>
  </si>
  <si>
    <t>Revenue</t>
  </si>
  <si>
    <t>Net Income</t>
  </si>
  <si>
    <t>Market Data</t>
  </si>
  <si>
    <t>Valuation</t>
  </si>
  <si>
    <t>Financials</t>
  </si>
  <si>
    <t>EV/Revenue</t>
  </si>
  <si>
    <t>EV/EBITDA</t>
  </si>
  <si>
    <t>P/E</t>
  </si>
  <si>
    <t>S.No.</t>
  </si>
  <si>
    <t>EV / EBITDA</t>
  </si>
  <si>
    <t>JSW Steel</t>
  </si>
  <si>
    <t>S A I L</t>
  </si>
  <si>
    <t>Jindal Stain.</t>
  </si>
  <si>
    <t>CMP Rs.</t>
  </si>
  <si>
    <t>No. Eq. Shares Cr.</t>
  </si>
  <si>
    <t>Debt Rs.Cr.</t>
  </si>
  <si>
    <t>Cash End Rs.Cr.</t>
  </si>
  <si>
    <t>EV Rs.Cr.</t>
  </si>
  <si>
    <t>Sales Rs.Cr.</t>
  </si>
  <si>
    <t>EV</t>
  </si>
  <si>
    <t>High</t>
  </si>
  <si>
    <t>75 percentile</t>
  </si>
  <si>
    <t>25 percentile</t>
  </si>
  <si>
    <t>Low</t>
  </si>
  <si>
    <t>Tata Steel ltd Comparable Valuation</t>
  </si>
  <si>
    <t>Implied Enterprise Value</t>
  </si>
  <si>
    <t>Net Debt</t>
  </si>
  <si>
    <t>Implied Market Value</t>
  </si>
  <si>
    <t>net debt</t>
  </si>
  <si>
    <t>Implied Value per Share</t>
  </si>
  <si>
    <t>Amount in Crores</t>
  </si>
  <si>
    <t>Comparable Company Valuation</t>
  </si>
  <si>
    <t>Calculation Of Sensitivity Analysis</t>
  </si>
  <si>
    <t>Capitalisation</t>
  </si>
  <si>
    <t>Cash</t>
  </si>
  <si>
    <t>EV/Sales</t>
  </si>
  <si>
    <t>Book Value</t>
  </si>
  <si>
    <t>P/B</t>
  </si>
  <si>
    <t>Tata Steel LTd - WACC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</si>
</sst>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;\-"/>
    <numFmt numFmtId="167" formatCode="&quot;₹&quot;\ #,##0.00"/>
    <numFmt numFmtId="168" formatCode="&quot;₹&quot;\ #,##0.00;&quot;₹&quot;\ \(#,##0.00\);\-"/>
    <numFmt numFmtId="169" formatCode="0.00&quot;x&quot;"/>
    <numFmt numFmtId="170" formatCode="yyyy&quot;A&quot;"/>
    <numFmt numFmtId="171" formatCode="yyyy&quot;E&quot;"/>
    <numFmt numFmtId="172" formatCode="#,##0.0"/>
    <numFmt numFmtId="173" formatCode="0.0"/>
    <numFmt numFmtId="174" formatCode="0.0%"/>
    <numFmt numFmtId="175" formatCode="yyyy"/>
    <numFmt numFmtId="176" formatCode="#,##0.0;\ \(#,##0.0\);\-"/>
    <numFmt numFmtId="177" formatCode="#,##0;\(#,##0\);\-"/>
    <numFmt numFmtId="178" formatCode="yyyy&quot;F&quot;"/>
    <numFmt numFmtId="179" formatCode="0.000"/>
    <numFmt numFmtId="180" formatCode="0.0\x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275D8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auto="1"/>
      </top>
      <bottom style="thin">
        <color rgb="FF0020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275D8"/>
      </top>
      <bottom style="thin">
        <color rgb="FF0275D8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rgb="FF0275D8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8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1" fillId="0" borderId="0" xfId="0" applyFont="1"/>
    <xf numFmtId="10" fontId="0" fillId="0" borderId="0" xfId="4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4" applyNumberFormat="1" applyFont="1"/>
    <xf numFmtId="166" fontId="0" fillId="0" borderId="0" xfId="0" applyNumberFormat="1"/>
    <xf numFmtId="10" fontId="7" fillId="0" borderId="0" xfId="4" applyNumberFormat="1" applyFont="1" applyAlignment="1">
      <alignment horizontal="right"/>
    </xf>
    <xf numFmtId="167" fontId="0" fillId="0" borderId="0" xfId="0" applyNumberFormat="1"/>
    <xf numFmtId="168" fontId="0" fillId="0" borderId="0" xfId="0" applyNumberFormat="1"/>
    <xf numFmtId="2" fontId="7" fillId="0" borderId="0" xfId="0" applyNumberFormat="1" applyFont="1"/>
    <xf numFmtId="0" fontId="1" fillId="5" borderId="0" xfId="0" applyFont="1" applyFill="1"/>
    <xf numFmtId="0" fontId="0" fillId="5" borderId="0" xfId="0" applyFill="1"/>
    <xf numFmtId="166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0" fontId="1" fillId="0" borderId="1" xfId="0" applyFont="1" applyBorder="1"/>
    <xf numFmtId="166" fontId="1" fillId="0" borderId="1" xfId="0" applyNumberFormat="1" applyFont="1" applyBorder="1"/>
    <xf numFmtId="169" fontId="0" fillId="0" borderId="0" xfId="0" applyNumberFormat="1"/>
    <xf numFmtId="10" fontId="0" fillId="0" borderId="0" xfId="4" applyNumberFormat="1" applyFont="1" applyBorder="1"/>
    <xf numFmtId="10" fontId="0" fillId="0" borderId="0" xfId="0" applyNumberFormat="1"/>
    <xf numFmtId="1" fontId="0" fillId="0" borderId="0" xfId="0" applyNumberFormat="1"/>
    <xf numFmtId="0" fontId="0" fillId="0" borderId="2" xfId="0" applyBorder="1"/>
    <xf numFmtId="10" fontId="0" fillId="0" borderId="2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10" fontId="0" fillId="0" borderId="3" xfId="0" applyNumberFormat="1" applyBorder="1"/>
    <xf numFmtId="10" fontId="0" fillId="0" borderId="2" xfId="0" applyNumberFormat="1" applyBorder="1"/>
    <xf numFmtId="169" fontId="0" fillId="0" borderId="3" xfId="0" applyNumberFormat="1" applyBorder="1"/>
    <xf numFmtId="169" fontId="0" fillId="0" borderId="2" xfId="0" applyNumberFormat="1" applyBorder="1"/>
    <xf numFmtId="1" fontId="0" fillId="0" borderId="2" xfId="0" applyNumberFormat="1" applyBorder="1"/>
    <xf numFmtId="1" fontId="0" fillId="0" borderId="3" xfId="0" applyNumberForma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70" fontId="0" fillId="0" borderId="0" xfId="0" applyNumberFormat="1" applyAlignment="1">
      <alignment horizontal="center"/>
    </xf>
    <xf numFmtId="0" fontId="0" fillId="0" borderId="4" xfId="0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Continuous"/>
    </xf>
    <xf numFmtId="0" fontId="0" fillId="6" borderId="0" xfId="0" applyFill="1" applyAlignment="1">
      <alignment horizontal="left"/>
    </xf>
    <xf numFmtId="171" fontId="0" fillId="6" borderId="0" xfId="0" applyNumberFormat="1" applyFill="1" applyAlignment="1">
      <alignment horizontal="center"/>
    </xf>
    <xf numFmtId="10" fontId="0" fillId="6" borderId="0" xfId="4" applyNumberFormat="1" applyFont="1" applyFill="1"/>
    <xf numFmtId="172" fontId="0" fillId="0" borderId="0" xfId="0" applyNumberFormat="1"/>
    <xf numFmtId="172" fontId="0" fillId="6" borderId="0" xfId="0" applyNumberFormat="1" applyFill="1"/>
    <xf numFmtId="0" fontId="0" fillId="7" borderId="0" xfId="0" applyFill="1"/>
    <xf numFmtId="172" fontId="0" fillId="7" borderId="0" xfId="0" applyNumberFormat="1" applyFill="1"/>
    <xf numFmtId="9" fontId="0" fillId="0" borderId="0" xfId="0" applyNumberFormat="1"/>
    <xf numFmtId="9" fontId="10" fillId="0" borderId="0" xfId="0" applyNumberFormat="1" applyFont="1"/>
    <xf numFmtId="2" fontId="0" fillId="0" borderId="0" xfId="0" applyNumberFormat="1"/>
    <xf numFmtId="0" fontId="0" fillId="0" borderId="6" xfId="0" applyBorder="1"/>
    <xf numFmtId="10" fontId="0" fillId="0" borderId="6" xfId="0" applyNumberFormat="1" applyBorder="1"/>
    <xf numFmtId="2" fontId="0" fillId="0" borderId="6" xfId="0" applyNumberFormat="1" applyBorder="1"/>
    <xf numFmtId="0" fontId="0" fillId="0" borderId="7" xfId="0" applyBorder="1"/>
    <xf numFmtId="0" fontId="1" fillId="0" borderId="7" xfId="0" applyFont="1" applyBorder="1"/>
    <xf numFmtId="0" fontId="0" fillId="0" borderId="8" xfId="0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0" fontId="0" fillId="0" borderId="0" xfId="4" applyNumberFormat="1" applyFont="1" applyAlignment="1">
      <alignment vertical="center" wrapText="1"/>
    </xf>
    <xf numFmtId="172" fontId="0" fillId="0" borderId="0" xfId="0" applyNumberFormat="1" applyAlignment="1">
      <alignment vertical="center" wrapText="1"/>
    </xf>
    <xf numFmtId="173" fontId="0" fillId="0" borderId="0" xfId="0" applyNumberFormat="1"/>
    <xf numFmtId="174" fontId="0" fillId="0" borderId="0" xfId="4" applyNumberFormat="1" applyFont="1"/>
    <xf numFmtId="0" fontId="0" fillId="0" borderId="0" xfId="0" applyAlignment="1">
      <alignment horizontal="right"/>
    </xf>
    <xf numFmtId="0" fontId="1" fillId="0" borderId="6" xfId="0" applyFont="1" applyBorder="1"/>
    <xf numFmtId="43" fontId="0" fillId="0" borderId="0" xfId="0" applyNumberFormat="1"/>
    <xf numFmtId="175" fontId="1" fillId="0" borderId="0" xfId="0" applyNumberFormat="1" applyFont="1"/>
    <xf numFmtId="175" fontId="1" fillId="0" borderId="6" xfId="0" applyNumberFormat="1" applyFont="1" applyBorder="1"/>
    <xf numFmtId="43" fontId="1" fillId="0" borderId="0" xfId="0" applyNumberFormat="1" applyFont="1"/>
    <xf numFmtId="10" fontId="1" fillId="0" borderId="0" xfId="4" applyNumberFormat="1" applyFont="1"/>
    <xf numFmtId="10" fontId="1" fillId="0" borderId="0" xfId="4" applyNumberFormat="1" applyFont="1" applyBorder="1"/>
    <xf numFmtId="17" fontId="1" fillId="0" borderId="0" xfId="0" applyNumberFormat="1" applyFont="1"/>
    <xf numFmtId="3" fontId="1" fillId="0" borderId="0" xfId="0" applyNumberFormat="1" applyFont="1"/>
    <xf numFmtId="176" fontId="0" fillId="0" borderId="9" xfId="0" applyNumberFormat="1" applyBorder="1"/>
    <xf numFmtId="176" fontId="1" fillId="0" borderId="9" xfId="0" applyNumberFormat="1" applyFont="1" applyBorder="1"/>
    <xf numFmtId="0" fontId="1" fillId="0" borderId="10" xfId="0" applyFont="1" applyBorder="1"/>
    <xf numFmtId="3" fontId="1" fillId="0" borderId="10" xfId="0" applyNumberFormat="1" applyFont="1" applyBorder="1"/>
    <xf numFmtId="176" fontId="1" fillId="0" borderId="8" xfId="0" applyNumberFormat="1" applyFont="1" applyBorder="1"/>
    <xf numFmtId="176" fontId="0" fillId="0" borderId="8" xfId="0" applyNumberFormat="1" applyBorder="1"/>
    <xf numFmtId="3" fontId="1" fillId="0" borderId="6" xfId="0" applyNumberFormat="1" applyFont="1" applyBorder="1"/>
    <xf numFmtId="3" fontId="1" fillId="0" borderId="11" xfId="0" applyNumberFormat="1" applyFont="1" applyBorder="1"/>
    <xf numFmtId="0" fontId="1" fillId="0" borderId="12" xfId="0" applyFont="1" applyBorder="1"/>
    <xf numFmtId="0" fontId="0" fillId="0" borderId="9" xfId="0" applyBorder="1"/>
    <xf numFmtId="0" fontId="1" fillId="0" borderId="13" xfId="0" applyFont="1" applyBorder="1"/>
    <xf numFmtId="0" fontId="1" fillId="0" borderId="8" xfId="0" applyFont="1" applyBorder="1"/>
    <xf numFmtId="0" fontId="1" fillId="0" borderId="15" xfId="0" applyFont="1" applyBorder="1"/>
    <xf numFmtId="0" fontId="0" fillId="0" borderId="14" xfId="0" applyBorder="1"/>
    <xf numFmtId="10" fontId="1" fillId="0" borderId="12" xfId="4" applyNumberFormat="1" applyFont="1" applyBorder="1"/>
    <xf numFmtId="177" fontId="0" fillId="0" borderId="9" xfId="0" applyNumberFormat="1" applyBorder="1"/>
    <xf numFmtId="177" fontId="0" fillId="0" borderId="0" xfId="0" applyNumberFormat="1"/>
    <xf numFmtId="177" fontId="1" fillId="0" borderId="13" xfId="0" applyNumberFormat="1" applyFont="1" applyBorder="1"/>
    <xf numFmtId="177" fontId="0" fillId="0" borderId="13" xfId="0" applyNumberFormat="1" applyBorder="1"/>
    <xf numFmtId="177" fontId="1" fillId="0" borderId="8" xfId="0" applyNumberFormat="1" applyFont="1" applyBorder="1"/>
    <xf numFmtId="177" fontId="0" fillId="0" borderId="14" xfId="0" applyNumberFormat="1" applyBorder="1"/>
    <xf numFmtId="177" fontId="1" fillId="0" borderId="15" xfId="0" applyNumberFormat="1" applyFont="1" applyBorder="1"/>
    <xf numFmtId="177" fontId="1" fillId="0" borderId="0" xfId="0" applyNumberFormat="1" applyFont="1"/>
    <xf numFmtId="3" fontId="0" fillId="0" borderId="9" xfId="0" applyNumberFormat="1" applyBorder="1"/>
    <xf numFmtId="10" fontId="0" fillId="0" borderId="9" xfId="0" applyNumberFormat="1" applyBorder="1"/>
    <xf numFmtId="9" fontId="0" fillId="0" borderId="8" xfId="0" applyNumberFormat="1" applyBorder="1"/>
    <xf numFmtId="177" fontId="1" fillId="0" borderId="12" xfId="0" applyNumberFormat="1" applyFont="1" applyBorder="1"/>
    <xf numFmtId="10" fontId="1" fillId="0" borderId="12" xfId="0" applyNumberFormat="1" applyFont="1" applyBorder="1"/>
    <xf numFmtId="0" fontId="1" fillId="0" borderId="16" xfId="0" applyFont="1" applyBorder="1"/>
    <xf numFmtId="10" fontId="1" fillId="0" borderId="16" xfId="0" applyNumberFormat="1" applyFont="1" applyBorder="1"/>
    <xf numFmtId="0" fontId="0" fillId="0" borderId="12" xfId="0" applyBorder="1"/>
    <xf numFmtId="43" fontId="0" fillId="0" borderId="12" xfId="0" applyNumberFormat="1" applyBorder="1"/>
    <xf numFmtId="9" fontId="11" fillId="0" borderId="12" xfId="0" applyNumberFormat="1" applyFont="1" applyBorder="1"/>
    <xf numFmtId="9" fontId="0" fillId="0" borderId="12" xfId="0" applyNumberFormat="1" applyBorder="1"/>
    <xf numFmtId="10" fontId="0" fillId="0" borderId="12" xfId="0" applyNumberFormat="1" applyBorder="1"/>
    <xf numFmtId="179" fontId="0" fillId="0" borderId="12" xfId="0" applyNumberFormat="1" applyBorder="1"/>
    <xf numFmtId="0" fontId="1" fillId="0" borderId="17" xfId="0" applyFont="1" applyBorder="1"/>
    <xf numFmtId="43" fontId="1" fillId="0" borderId="17" xfId="0" applyNumberFormat="1" applyFont="1" applyBorder="1"/>
    <xf numFmtId="0" fontId="2" fillId="8" borderId="0" xfId="0" applyFont="1" applyFill="1"/>
    <xf numFmtId="170" fontId="2" fillId="8" borderId="0" xfId="0" applyNumberFormat="1" applyFont="1" applyFill="1"/>
    <xf numFmtId="178" fontId="2" fillId="8" borderId="0" xfId="0" applyNumberFormat="1" applyFont="1" applyFill="1"/>
    <xf numFmtId="43" fontId="1" fillId="0" borderId="12" xfId="0" applyNumberFormat="1" applyFont="1" applyBorder="1"/>
    <xf numFmtId="0" fontId="1" fillId="0" borderId="18" xfId="0" applyFont="1" applyBorder="1"/>
    <xf numFmtId="2" fontId="1" fillId="0" borderId="18" xfId="0" applyNumberFormat="1" applyFont="1" applyBorder="1"/>
    <xf numFmtId="0" fontId="2" fillId="8" borderId="0" xfId="0" applyFont="1" applyFill="1" applyAlignment="1">
      <alignment horizontal="center"/>
    </xf>
    <xf numFmtId="0" fontId="0" fillId="6" borderId="0" xfId="0" applyFill="1"/>
    <xf numFmtId="10" fontId="0" fillId="6" borderId="0" xfId="0" applyNumberFormat="1" applyFill="1"/>
    <xf numFmtId="9" fontId="0" fillId="6" borderId="0" xfId="0" applyNumberFormat="1" applyFill="1"/>
    <xf numFmtId="0" fontId="2" fillId="4" borderId="0" xfId="0" applyFont="1" applyFill="1" applyAlignment="1">
      <alignment horizontal="center"/>
    </xf>
    <xf numFmtId="0" fontId="1" fillId="8" borderId="0" xfId="0" applyFont="1" applyFill="1"/>
    <xf numFmtId="0" fontId="2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0" fillId="6" borderId="20" xfId="0" applyFill="1" applyBorder="1" applyAlignment="1">
      <alignment horizontal="left"/>
    </xf>
    <xf numFmtId="0" fontId="0" fillId="6" borderId="20" xfId="0" applyFill="1" applyBorder="1" applyAlignment="1">
      <alignment horizontal="right"/>
    </xf>
    <xf numFmtId="180" fontId="0" fillId="6" borderId="20" xfId="0" applyNumberFormat="1" applyFill="1" applyBorder="1" applyAlignment="1">
      <alignment horizontal="right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right"/>
    </xf>
    <xf numFmtId="0" fontId="0" fillId="7" borderId="20" xfId="0" applyFill="1" applyBorder="1" applyAlignment="1">
      <alignment horizontal="right"/>
    </xf>
    <xf numFmtId="180" fontId="0" fillId="0" borderId="20" xfId="0" applyNumberFormat="1" applyBorder="1" applyAlignment="1">
      <alignment horizontal="right"/>
    </xf>
    <xf numFmtId="0" fontId="0" fillId="0" borderId="20" xfId="0" applyBorder="1"/>
    <xf numFmtId="0" fontId="0" fillId="6" borderId="20" xfId="0" applyFill="1" applyBorder="1"/>
    <xf numFmtId="180" fontId="0" fillId="6" borderId="20" xfId="0" applyNumberFormat="1" applyFill="1" applyBorder="1"/>
    <xf numFmtId="0" fontId="1" fillId="0" borderId="21" xfId="0" applyFont="1" applyBorder="1"/>
    <xf numFmtId="0" fontId="1" fillId="6" borderId="20" xfId="0" applyFont="1" applyFill="1" applyBorder="1" applyAlignment="1">
      <alignment horizontal="left"/>
    </xf>
    <xf numFmtId="0" fontId="1" fillId="6" borderId="20" xfId="0" applyFont="1" applyFill="1" applyBorder="1" applyAlignment="1">
      <alignment horizontal="right"/>
    </xf>
    <xf numFmtId="180" fontId="1" fillId="6" borderId="20" xfId="0" applyNumberFormat="1" applyFont="1" applyFill="1" applyBorder="1" applyAlignment="1">
      <alignment horizontal="right"/>
    </xf>
    <xf numFmtId="0" fontId="1" fillId="6" borderId="20" xfId="0" applyFont="1" applyFill="1" applyBorder="1"/>
    <xf numFmtId="180" fontId="1" fillId="6" borderId="20" xfId="0" applyNumberFormat="1" applyFont="1" applyFill="1" applyBorder="1"/>
    <xf numFmtId="0" fontId="0" fillId="0" borderId="22" xfId="0" applyBorder="1"/>
    <xf numFmtId="0" fontId="8" fillId="0" borderId="0" xfId="0" applyFont="1"/>
    <xf numFmtId="9" fontId="1" fillId="0" borderId="0" xfId="0" applyNumberFormat="1" applyFont="1"/>
    <xf numFmtId="10" fontId="1" fillId="0" borderId="0" xfId="0" applyNumberFormat="1" applyFont="1"/>
    <xf numFmtId="0" fontId="5" fillId="0" borderId="12" xfId="0" applyFont="1" applyBorder="1"/>
    <xf numFmtId="0" fontId="0" fillId="0" borderId="24" xfId="0" applyBorder="1"/>
    <xf numFmtId="0" fontId="0" fillId="0" borderId="25" xfId="0" applyBorder="1"/>
    <xf numFmtId="43" fontId="12" fillId="0" borderId="0" xfId="0" applyNumberFormat="1" applyFont="1"/>
    <xf numFmtId="173" fontId="0" fillId="0" borderId="12" xfId="0" applyNumberFormat="1" applyBorder="1"/>
    <xf numFmtId="9" fontId="10" fillId="0" borderId="12" xfId="0" applyNumberFormat="1" applyFont="1" applyBorder="1"/>
    <xf numFmtId="10" fontId="0" fillId="0" borderId="12" xfId="4" applyNumberFormat="1" applyFont="1" applyBorder="1"/>
    <xf numFmtId="0" fontId="10" fillId="0" borderId="12" xfId="0" applyFont="1" applyBorder="1"/>
    <xf numFmtId="2" fontId="0" fillId="0" borderId="12" xfId="4" applyNumberFormat="1" applyFont="1" applyBorder="1"/>
    <xf numFmtId="10" fontId="10" fillId="0" borderId="12" xfId="0" applyNumberFormat="1" applyFont="1" applyBorder="1"/>
    <xf numFmtId="10" fontId="10" fillId="0" borderId="12" xfId="4" applyNumberFormat="1" applyFont="1" applyBorder="1"/>
    <xf numFmtId="10" fontId="3" fillId="0" borderId="12" xfId="4" applyNumberFormat="1" applyFont="1" applyBorder="1"/>
    <xf numFmtId="2" fontId="0" fillId="0" borderId="12" xfId="0" applyNumberFormat="1" applyBorder="1"/>
    <xf numFmtId="2" fontId="1" fillId="0" borderId="17" xfId="0" applyNumberFormat="1" applyFont="1" applyBorder="1"/>
    <xf numFmtId="0" fontId="0" fillId="0" borderId="17" xfId="0" applyBorder="1"/>
    <xf numFmtId="10" fontId="0" fillId="0" borderId="17" xfId="0" applyNumberFormat="1" applyBorder="1"/>
    <xf numFmtId="10" fontId="0" fillId="0" borderId="17" xfId="4" applyNumberFormat="1" applyFont="1" applyBorder="1"/>
    <xf numFmtId="0" fontId="1" fillId="0" borderId="4" xfId="0" applyFont="1" applyBorder="1"/>
    <xf numFmtId="10" fontId="0" fillId="0" borderId="4" xfId="0" applyNumberFormat="1" applyBorder="1"/>
    <xf numFmtId="2" fontId="0" fillId="0" borderId="4" xfId="0" applyNumberFormat="1" applyBorder="1"/>
    <xf numFmtId="0" fontId="13" fillId="9" borderId="0" xfId="0" applyFont="1" applyFill="1"/>
    <xf numFmtId="0" fontId="2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8" borderId="19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left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Forecasting!$C$4:$C$17</c:f>
              <c:numCache>
                <c:formatCode>yyyy"A"</c:formatCode>
                <c:ptCount val="14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43920</c:v>
                </c:pt>
                <c:pt idx="4">
                  <c:v>44285</c:v>
                </c:pt>
                <c:pt idx="5">
                  <c:v>44650</c:v>
                </c:pt>
                <c:pt idx="6">
                  <c:v>45015</c:v>
                </c:pt>
                <c:pt idx="7">
                  <c:v>45380</c:v>
                </c:pt>
                <c:pt idx="8">
                  <c:v>45745</c:v>
                </c:pt>
                <c:pt idx="9">
                  <c:v>46110</c:v>
                </c:pt>
                <c:pt idx="10" formatCode="yyyy&quot;E&quot;">
                  <c:v>46475</c:v>
                </c:pt>
                <c:pt idx="11" formatCode="yyyy&quot;E&quot;">
                  <c:v>46840</c:v>
                </c:pt>
                <c:pt idx="12" formatCode="yyyy&quot;E&quot;">
                  <c:v>47205</c:v>
                </c:pt>
                <c:pt idx="13" formatCode="yyyy&quot;E&quot;">
                  <c:v>47570</c:v>
                </c:pt>
              </c:numCache>
            </c:numRef>
          </c:xVal>
          <c:yVal>
            <c:numRef>
              <c:f>Forecasting!$D$4:$D$17</c:f>
              <c:numCache>
                <c:formatCode>#,##0.0</c:formatCode>
                <c:ptCount val="14"/>
                <c:pt idx="0">
                  <c:v>112299.42</c:v>
                </c:pt>
                <c:pt idx="1">
                  <c:v>123249.07</c:v>
                </c:pt>
                <c:pt idx="2">
                  <c:v>157668.99</c:v>
                </c:pt>
                <c:pt idx="3">
                  <c:v>139816.65</c:v>
                </c:pt>
                <c:pt idx="4">
                  <c:v>156477.4</c:v>
                </c:pt>
                <c:pt idx="5">
                  <c:v>243959.17</c:v>
                </c:pt>
                <c:pt idx="6">
                  <c:v>243352.69</c:v>
                </c:pt>
                <c:pt idx="7">
                  <c:v>229170.78</c:v>
                </c:pt>
                <c:pt idx="8">
                  <c:v>218542.51</c:v>
                </c:pt>
                <c:pt idx="9">
                  <c:v>232139.94</c:v>
                </c:pt>
                <c:pt idx="10">
                  <c:v>269041.58200000005</c:v>
                </c:pt>
                <c:pt idx="11">
                  <c:v>284200.47654545458</c:v>
                </c:pt>
                <c:pt idx="12">
                  <c:v>299359.37109090912</c:v>
                </c:pt>
                <c:pt idx="13">
                  <c:v>314518.26563636365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2-4010-AD9E-775C323E1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234143"/>
        <c:axId val="1130227903"/>
      </c:scatterChart>
      <c:valAx>
        <c:axId val="113023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27903"/>
        <c:crosses val="autoZero"/>
        <c:crossBetween val="midCat"/>
      </c:valAx>
      <c:valAx>
        <c:axId val="113022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3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</a:t>
            </a:r>
            <a:r>
              <a:rPr lang="en-IN" baseline="0"/>
              <a:t> Regression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Forecasting!$H$4:$H$17</c:f>
              <c:numCache>
                <c:formatCode>yyyy"A"</c:formatCode>
                <c:ptCount val="14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43920</c:v>
                </c:pt>
                <c:pt idx="4">
                  <c:v>44285</c:v>
                </c:pt>
                <c:pt idx="5">
                  <c:v>44650</c:v>
                </c:pt>
                <c:pt idx="6">
                  <c:v>45015</c:v>
                </c:pt>
                <c:pt idx="7">
                  <c:v>45380</c:v>
                </c:pt>
                <c:pt idx="8">
                  <c:v>45745</c:v>
                </c:pt>
                <c:pt idx="9">
                  <c:v>46110</c:v>
                </c:pt>
                <c:pt idx="10" formatCode="yyyy&quot;E&quot;">
                  <c:v>46475</c:v>
                </c:pt>
                <c:pt idx="11" formatCode="yyyy&quot;E&quot;">
                  <c:v>46840</c:v>
                </c:pt>
                <c:pt idx="12" formatCode="yyyy&quot;E&quot;">
                  <c:v>47205</c:v>
                </c:pt>
                <c:pt idx="13" formatCode="yyyy&quot;E&quot;">
                  <c:v>47570</c:v>
                </c:pt>
              </c:numCache>
            </c:numRef>
          </c:xVal>
          <c:yVal>
            <c:numRef>
              <c:f>Forecasting!$I$4:$I$17</c:f>
              <c:numCache>
                <c:formatCode>#,##0.0</c:formatCode>
                <c:ptCount val="14"/>
                <c:pt idx="0">
                  <c:v>13143.630000000001</c:v>
                </c:pt>
                <c:pt idx="1">
                  <c:v>21433.190000000002</c:v>
                </c:pt>
                <c:pt idx="2">
                  <c:v>29318.22</c:v>
                </c:pt>
                <c:pt idx="3">
                  <c:v>17463.060000000005</c:v>
                </c:pt>
                <c:pt idx="4">
                  <c:v>30504.259999999987</c:v>
                </c:pt>
                <c:pt idx="5">
                  <c:v>63489.950000000012</c:v>
                </c:pt>
                <c:pt idx="6">
                  <c:v>32300.160000000018</c:v>
                </c:pt>
                <c:pt idx="7">
                  <c:v>22247.920000000002</c:v>
                </c:pt>
                <c:pt idx="8">
                  <c:v>25298.44999999999</c:v>
                </c:pt>
                <c:pt idx="9">
                  <c:v>34352.44</c:v>
                </c:pt>
                <c:pt idx="10">
                  <c:v>37624.51466666667</c:v>
                </c:pt>
                <c:pt idx="11">
                  <c:v>39200.766787878791</c:v>
                </c:pt>
                <c:pt idx="12">
                  <c:v>40777.018909090912</c:v>
                </c:pt>
                <c:pt idx="13">
                  <c:v>42353.271030303033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2C-4F6E-B2E8-FE21EAFAA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240863"/>
        <c:axId val="1130242783"/>
      </c:scatterChart>
      <c:valAx>
        <c:axId val="113024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42783"/>
        <c:crosses val="autoZero"/>
        <c:crossBetween val="midCat"/>
      </c:valAx>
      <c:valAx>
        <c:axId val="113024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4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EPS</a:t>
            </a:r>
            <a:r>
              <a:rPr lang="en-US" baseline="0"/>
              <a:t> Regression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Forecasting!$N$3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Forecasting!$M$4:$M$17</c:f>
              <c:numCache>
                <c:formatCode>yyyy"A"</c:formatCode>
                <c:ptCount val="14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43920</c:v>
                </c:pt>
                <c:pt idx="4">
                  <c:v>44285</c:v>
                </c:pt>
                <c:pt idx="5">
                  <c:v>44650</c:v>
                </c:pt>
                <c:pt idx="6">
                  <c:v>45015</c:v>
                </c:pt>
                <c:pt idx="7">
                  <c:v>45380</c:v>
                </c:pt>
                <c:pt idx="8">
                  <c:v>45745</c:v>
                </c:pt>
                <c:pt idx="9">
                  <c:v>46110</c:v>
                </c:pt>
                <c:pt idx="10" formatCode="yyyy&quot;E&quot;">
                  <c:v>46475</c:v>
                </c:pt>
                <c:pt idx="11" formatCode="yyyy&quot;E&quot;">
                  <c:v>46840</c:v>
                </c:pt>
                <c:pt idx="12" formatCode="yyyy&quot;E&quot;">
                  <c:v>47205</c:v>
                </c:pt>
                <c:pt idx="13" formatCode="yyyy&quot;E&quot;">
                  <c:v>47570</c:v>
                </c:pt>
              </c:numCache>
            </c:numRef>
          </c:xVal>
          <c:yVal>
            <c:numRef>
              <c:f>Forecasting!$N$4:$N$17</c:f>
              <c:numCache>
                <c:formatCode>#,##0.0</c:formatCode>
                <c:ptCount val="14"/>
                <c:pt idx="0">
                  <c:v>-0.33681276739273153</c:v>
                </c:pt>
                <c:pt idx="1">
                  <c:v>6.0759356579788397</c:v>
                </c:pt>
                <c:pt idx="2">
                  <c:v>6.7447203259682738</c:v>
                </c:pt>
                <c:pt idx="3">
                  <c:v>3.6017008584186332</c:v>
                </c:pt>
                <c:pt idx="4">
                  <c:v>6.6940305367753279</c:v>
                </c:pt>
                <c:pt idx="5">
                  <c:v>33.119896831245406</c:v>
                </c:pt>
                <c:pt idx="6">
                  <c:v>5.3238064067422295</c:v>
                </c:pt>
                <c:pt idx="7">
                  <c:v>0.8776545039452095</c:v>
                </c:pt>
                <c:pt idx="8">
                  <c:v>1.8400929226579013</c:v>
                </c:pt>
                <c:pt idx="9">
                  <c:v>8.1291304521969039</c:v>
                </c:pt>
                <c:pt idx="10">
                  <c:v>8.8336636947997889</c:v>
                </c:pt>
                <c:pt idx="11">
                  <c:v>9.1294178987900061</c:v>
                </c:pt>
                <c:pt idx="12">
                  <c:v>9.4251721027802233</c:v>
                </c:pt>
                <c:pt idx="13">
                  <c:v>9.7209263067704388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8-499E-AA40-AD017F879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245183"/>
        <c:axId val="1130245663"/>
      </c:scatterChart>
      <c:valAx>
        <c:axId val="113024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45663"/>
        <c:crosses val="autoZero"/>
        <c:crossBetween val="midCat"/>
      </c:valAx>
      <c:valAx>
        <c:axId val="113024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24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17</xdr:row>
      <xdr:rowOff>72390</xdr:rowOff>
    </xdr:from>
    <xdr:to>
      <xdr:col>5</xdr:col>
      <xdr:colOff>99060</xdr:colOff>
      <xdr:row>32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7A647-89DF-0004-FC9E-4587F2B41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160020</xdr:colOff>
      <xdr:row>17</xdr:row>
      <xdr:rowOff>72390</xdr:rowOff>
    </xdr:from>
    <xdr:to>
      <xdr:col>10</xdr:col>
      <xdr:colOff>182880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23EF66-B3C1-582A-63B7-A622EE4E1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17</xdr:row>
      <xdr:rowOff>76200</xdr:rowOff>
    </xdr:from>
    <xdr:to>
      <xdr:col>15</xdr:col>
      <xdr:colOff>533400</xdr:colOff>
      <xdr:row>32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496462-6A46-4F54-94EF-91C3B2D54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8"/>
  <sheetViews>
    <sheetView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G102" sqref="G102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177" t="str">
        <f>IF(B2&lt;&gt;B3, "A NEW VERSION OF THE WORKSHEET IS AVAILABLE", "")</f>
        <v/>
      </c>
      <c r="F1" s="177"/>
      <c r="G1" s="177"/>
      <c r="H1" s="177"/>
      <c r="I1" s="177"/>
      <c r="J1" s="177"/>
      <c r="K1" s="177"/>
    </row>
    <row r="2" spans="1:11" x14ac:dyDescent="0.3">
      <c r="A2" s="1" t="s">
        <v>30</v>
      </c>
      <c r="B2" s="2">
        <v>2.1</v>
      </c>
      <c r="E2" s="178" t="s">
        <v>21</v>
      </c>
      <c r="F2" s="178"/>
      <c r="G2" s="178"/>
      <c r="H2" s="178"/>
      <c r="I2" s="178"/>
      <c r="J2" s="178"/>
      <c r="K2" s="178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1248.352600849257</v>
      </c>
    </row>
    <row r="7" spans="1:11" x14ac:dyDescent="0.3">
      <c r="A7" s="2" t="s">
        <v>16</v>
      </c>
      <c r="B7">
        <v>1</v>
      </c>
    </row>
    <row r="8" spans="1:11" x14ac:dyDescent="0.3">
      <c r="A8" s="2" t="s">
        <v>28</v>
      </c>
      <c r="B8">
        <v>188.4</v>
      </c>
    </row>
    <row r="9" spans="1:11" x14ac:dyDescent="0.3">
      <c r="A9" s="2" t="s">
        <v>43</v>
      </c>
      <c r="B9">
        <v>235189.63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3" customFormat="1" x14ac:dyDescent="0.3">
      <c r="A17" s="3" t="s">
        <v>1</v>
      </c>
      <c r="B17">
        <v>112299.42</v>
      </c>
      <c r="C17">
        <v>123249.07</v>
      </c>
      <c r="D17">
        <v>157668.99</v>
      </c>
      <c r="E17">
        <v>139816.65</v>
      </c>
      <c r="F17">
        <v>156477.4</v>
      </c>
      <c r="G17">
        <v>243959.17</v>
      </c>
      <c r="H17">
        <v>243352.69</v>
      </c>
      <c r="I17">
        <v>229170.78</v>
      </c>
      <c r="J17">
        <v>218542.51</v>
      </c>
      <c r="K17">
        <v>232139.94</v>
      </c>
    </row>
    <row r="18" spans="1:11" s="3" customFormat="1" x14ac:dyDescent="0.3">
      <c r="A18" s="2" t="s">
        <v>44</v>
      </c>
      <c r="B18">
        <v>43843.03</v>
      </c>
      <c r="C18">
        <v>46137.01</v>
      </c>
      <c r="D18">
        <v>60877.05</v>
      </c>
      <c r="E18">
        <v>58039.99</v>
      </c>
      <c r="F18">
        <v>55100.81</v>
      </c>
      <c r="G18">
        <v>91076.61</v>
      </c>
      <c r="H18">
        <v>116597.19</v>
      </c>
      <c r="I18">
        <v>97506.39</v>
      </c>
      <c r="J18">
        <v>95097.3</v>
      </c>
      <c r="K18">
        <v>92628.07</v>
      </c>
    </row>
    <row r="19" spans="1:11" s="3" customFormat="1" x14ac:dyDescent="0.3">
      <c r="A19" s="2" t="s">
        <v>45</v>
      </c>
      <c r="B19">
        <v>4538.13</v>
      </c>
      <c r="C19">
        <v>-99.31</v>
      </c>
      <c r="D19">
        <v>96.71</v>
      </c>
      <c r="E19">
        <v>565.24</v>
      </c>
      <c r="F19">
        <v>-1516.77</v>
      </c>
      <c r="G19">
        <v>7597.87</v>
      </c>
      <c r="H19">
        <v>3358.89</v>
      </c>
      <c r="I19">
        <v>-4409.3500000000004</v>
      </c>
      <c r="J19">
        <v>96.65</v>
      </c>
      <c r="K19">
        <v>-989.62</v>
      </c>
    </row>
    <row r="20" spans="1:11" s="3" customFormat="1" x14ac:dyDescent="0.3">
      <c r="A20" s="2" t="s">
        <v>46</v>
      </c>
      <c r="B20">
        <v>5220.83</v>
      </c>
      <c r="C20">
        <v>4440.43</v>
      </c>
      <c r="D20">
        <v>5316.56</v>
      </c>
      <c r="E20">
        <v>5319.92</v>
      </c>
      <c r="F20">
        <v>5708.42</v>
      </c>
      <c r="G20">
        <v>8028.29</v>
      </c>
      <c r="H20">
        <v>9526.91</v>
      </c>
      <c r="I20">
        <v>16612.61</v>
      </c>
      <c r="J20">
        <v>13124.85</v>
      </c>
      <c r="K20">
        <v>14333.15</v>
      </c>
    </row>
    <row r="21" spans="1:11" s="3" customFormat="1" x14ac:dyDescent="0.3">
      <c r="A21" s="2" t="s">
        <v>47</v>
      </c>
      <c r="B21">
        <v>15799.14</v>
      </c>
      <c r="C21">
        <v>16955.79</v>
      </c>
      <c r="D21">
        <v>20734.28</v>
      </c>
      <c r="E21">
        <v>21232.69</v>
      </c>
      <c r="F21">
        <v>20744.93</v>
      </c>
      <c r="G21">
        <v>28834.06</v>
      </c>
      <c r="H21">
        <v>33144.83</v>
      </c>
      <c r="I21">
        <v>40116.910000000003</v>
      </c>
      <c r="J21">
        <v>38700.5</v>
      </c>
      <c r="K21">
        <v>37485.96</v>
      </c>
    </row>
    <row r="22" spans="1:11" s="3" customFormat="1" x14ac:dyDescent="0.3">
      <c r="A22" s="2" t="s">
        <v>48</v>
      </c>
      <c r="B22">
        <v>17252.22</v>
      </c>
      <c r="C22">
        <v>17077.509999999998</v>
      </c>
      <c r="D22">
        <v>18758.87</v>
      </c>
      <c r="E22">
        <v>18533.580000000002</v>
      </c>
      <c r="F22">
        <v>19908.810000000001</v>
      </c>
      <c r="G22">
        <v>23264.1</v>
      </c>
      <c r="H22">
        <v>22419.32</v>
      </c>
      <c r="I22">
        <v>24509.58</v>
      </c>
      <c r="J22">
        <v>24888.99</v>
      </c>
      <c r="K22">
        <v>25998.98</v>
      </c>
    </row>
    <row r="23" spans="1:11" s="3" customFormat="1" x14ac:dyDescent="0.3">
      <c r="A23" s="2" t="s">
        <v>49</v>
      </c>
      <c r="B23">
        <v>13772.32</v>
      </c>
      <c r="C23">
        <v>14423.87</v>
      </c>
      <c r="D23">
        <v>16917.14</v>
      </c>
      <c r="E23">
        <v>15599.07</v>
      </c>
      <c r="F23">
        <v>17509.77</v>
      </c>
      <c r="G23">
        <v>27445.67</v>
      </c>
      <c r="H23">
        <v>25519.919999999998</v>
      </c>
      <c r="I23">
        <v>14453.57</v>
      </c>
      <c r="J23">
        <v>12137.26</v>
      </c>
      <c r="K23">
        <v>13348.99</v>
      </c>
    </row>
    <row r="24" spans="1:11" s="3" customFormat="1" x14ac:dyDescent="0.3">
      <c r="A24" s="2" t="s">
        <v>50</v>
      </c>
      <c r="B24">
        <v>7806.38</v>
      </c>
      <c r="C24">
        <v>2681.96</v>
      </c>
      <c r="D24">
        <v>5843.58</v>
      </c>
      <c r="E24">
        <v>4193.58</v>
      </c>
      <c r="F24">
        <v>5483.63</v>
      </c>
      <c r="G24">
        <v>9418.36</v>
      </c>
      <c r="H24">
        <v>7203.25</v>
      </c>
      <c r="I24">
        <v>9314.4500000000007</v>
      </c>
      <c r="J24">
        <v>9391.81</v>
      </c>
      <c r="K24">
        <v>13002.73</v>
      </c>
    </row>
    <row r="25" spans="1:11" s="3" customFormat="1" x14ac:dyDescent="0.3">
      <c r="A25" s="3" t="s">
        <v>4</v>
      </c>
      <c r="B25">
        <v>-3789.11</v>
      </c>
      <c r="C25">
        <v>10898.41</v>
      </c>
      <c r="D25">
        <v>1524.31</v>
      </c>
      <c r="E25">
        <v>-2883.63</v>
      </c>
      <c r="F25">
        <v>179.78</v>
      </c>
      <c r="G25">
        <v>1299.99</v>
      </c>
      <c r="H25">
        <v>1568.86</v>
      </c>
      <c r="I25">
        <v>-6005.23</v>
      </c>
      <c r="J25">
        <v>876.7</v>
      </c>
      <c r="K25">
        <v>737.82</v>
      </c>
    </row>
    <row r="26" spans="1:11" s="3" customFormat="1" x14ac:dyDescent="0.3">
      <c r="A26" s="3" t="s">
        <v>5</v>
      </c>
      <c r="B26">
        <v>5672.88</v>
      </c>
      <c r="C26">
        <v>5741.7</v>
      </c>
      <c r="D26">
        <v>7341.83</v>
      </c>
      <c r="E26">
        <v>8440.73</v>
      </c>
      <c r="F26">
        <v>9233.64</v>
      </c>
      <c r="G26">
        <v>9100.8700000000008</v>
      </c>
      <c r="H26">
        <v>9335.2000000000007</v>
      </c>
      <c r="I26">
        <v>9882.16</v>
      </c>
      <c r="J26">
        <v>10421.33</v>
      </c>
      <c r="K26">
        <v>11954.51</v>
      </c>
    </row>
    <row r="27" spans="1:11" s="3" customFormat="1" x14ac:dyDescent="0.3">
      <c r="A27" s="3" t="s">
        <v>6</v>
      </c>
      <c r="B27">
        <v>5072.2</v>
      </c>
      <c r="C27">
        <v>5454.74</v>
      </c>
      <c r="D27">
        <v>7660.1</v>
      </c>
      <c r="E27">
        <v>7533.46</v>
      </c>
      <c r="F27">
        <v>7606.71</v>
      </c>
      <c r="G27">
        <v>5462.2</v>
      </c>
      <c r="H27">
        <v>6298.7</v>
      </c>
      <c r="I27">
        <v>7507.57</v>
      </c>
      <c r="J27">
        <v>7340.95</v>
      </c>
      <c r="K27">
        <v>7167.06</v>
      </c>
    </row>
    <row r="28" spans="1:11" s="3" customFormat="1" x14ac:dyDescent="0.3">
      <c r="A28" s="3" t="s">
        <v>7</v>
      </c>
      <c r="B28">
        <v>-1390.56</v>
      </c>
      <c r="C28">
        <v>21135.16</v>
      </c>
      <c r="D28">
        <v>15840.6</v>
      </c>
      <c r="E28">
        <v>-1394.76</v>
      </c>
      <c r="F28">
        <v>13843.69</v>
      </c>
      <c r="G28">
        <v>50226.87</v>
      </c>
      <c r="H28">
        <v>18235.12</v>
      </c>
      <c r="I28">
        <v>-1147.04</v>
      </c>
      <c r="J28">
        <v>8412.8700000000008</v>
      </c>
      <c r="K28">
        <v>15968.69</v>
      </c>
    </row>
    <row r="29" spans="1:11" s="3" customFormat="1" x14ac:dyDescent="0.3">
      <c r="A29" s="3" t="s">
        <v>8</v>
      </c>
      <c r="B29">
        <v>2778.01</v>
      </c>
      <c r="C29">
        <v>3392.33</v>
      </c>
      <c r="D29">
        <v>6718.43</v>
      </c>
      <c r="E29">
        <v>-2568.41</v>
      </c>
      <c r="F29">
        <v>5653.9</v>
      </c>
      <c r="G29">
        <v>8477.5499999999993</v>
      </c>
      <c r="H29">
        <v>10159.77</v>
      </c>
      <c r="I29">
        <v>3762.57</v>
      </c>
      <c r="J29">
        <v>5239.09</v>
      </c>
      <c r="K29">
        <v>5082.87</v>
      </c>
    </row>
    <row r="30" spans="1:11" s="3" customFormat="1" x14ac:dyDescent="0.3">
      <c r="A30" s="3" t="s">
        <v>9</v>
      </c>
      <c r="B30">
        <v>-4240.8</v>
      </c>
      <c r="C30">
        <v>13434.33</v>
      </c>
      <c r="D30">
        <v>10218.33</v>
      </c>
      <c r="E30">
        <v>1556.54</v>
      </c>
      <c r="F30">
        <v>7490.22</v>
      </c>
      <c r="G30">
        <v>40153.93</v>
      </c>
      <c r="H30">
        <v>8760.4</v>
      </c>
      <c r="I30">
        <v>-4437.4399999999996</v>
      </c>
      <c r="J30">
        <v>3420.51</v>
      </c>
      <c r="K30">
        <v>10793.87</v>
      </c>
    </row>
    <row r="31" spans="1:11" s="3" customFormat="1" x14ac:dyDescent="0.3">
      <c r="A31" s="3" t="s">
        <v>34</v>
      </c>
      <c r="B31">
        <v>970.24</v>
      </c>
      <c r="C31">
        <v>1144.95</v>
      </c>
      <c r="D31">
        <v>1488.42</v>
      </c>
      <c r="E31">
        <v>1144.95</v>
      </c>
      <c r="F31">
        <v>2994.02</v>
      </c>
      <c r="G31">
        <v>6228.17</v>
      </c>
      <c r="H31">
        <v>4396.46</v>
      </c>
      <c r="I31">
        <v>4490.78</v>
      </c>
      <c r="J31">
        <v>4490.78</v>
      </c>
      <c r="K31">
        <v>4989.76</v>
      </c>
    </row>
    <row r="32" spans="1:11" s="3" customFormat="1" x14ac:dyDescent="0.3"/>
    <row r="33" spans="1:11" x14ac:dyDescent="0.3">
      <c r="A33" s="3"/>
      <c r="C33" s="2">
        <f>C30-C25</f>
        <v>2535.92</v>
      </c>
    </row>
    <row r="34" spans="1:11" x14ac:dyDescent="0.3">
      <c r="A34" s="3"/>
    </row>
    <row r="35" spans="1:11" x14ac:dyDescent="0.3">
      <c r="A35" s="3"/>
      <c r="B35" s="2">
        <f>379</f>
        <v>379</v>
      </c>
    </row>
    <row r="36" spans="1:11" x14ac:dyDescent="0.3">
      <c r="A36" s="3"/>
    </row>
    <row r="37" spans="1:11" x14ac:dyDescent="0.3">
      <c r="A37" s="3" t="s">
        <v>65</v>
      </c>
      <c r="B37" s="2">
        <f>B30+B29+B27+B26</f>
        <v>9282.2900000000009</v>
      </c>
      <c r="C37" s="2">
        <f t="shared" ref="C37:K37" si="0">C30+C29+C27+C26</f>
        <v>28023.100000000002</v>
      </c>
      <c r="D37" s="2">
        <f t="shared" si="0"/>
        <v>31938.690000000002</v>
      </c>
      <c r="E37" s="2">
        <f t="shared" si="0"/>
        <v>14962.32</v>
      </c>
      <c r="F37" s="2">
        <f t="shared" si="0"/>
        <v>29984.469999999998</v>
      </c>
      <c r="G37" s="2">
        <f t="shared" si="0"/>
        <v>63194.549999999996</v>
      </c>
      <c r="H37" s="2">
        <f t="shared" si="0"/>
        <v>34554.07</v>
      </c>
      <c r="I37" s="2">
        <f t="shared" si="0"/>
        <v>16714.86</v>
      </c>
      <c r="J37" s="2">
        <f t="shared" si="0"/>
        <v>26421.879999999997</v>
      </c>
      <c r="K37" s="2">
        <f t="shared" si="0"/>
        <v>34998.310000000005</v>
      </c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3" customFormat="1" x14ac:dyDescent="0.3">
      <c r="A42" s="3" t="s">
        <v>1</v>
      </c>
      <c r="B42">
        <v>58687.31</v>
      </c>
      <c r="C42">
        <v>54771.39</v>
      </c>
      <c r="D42">
        <v>53904.71</v>
      </c>
      <c r="E42">
        <v>53648.3</v>
      </c>
      <c r="F42">
        <v>56218.11</v>
      </c>
      <c r="G42">
        <v>53178.12</v>
      </c>
      <c r="H42">
        <v>58689.29</v>
      </c>
      <c r="I42">
        <v>57002.400000000001</v>
      </c>
      <c r="J42">
        <v>63270.13</v>
      </c>
      <c r="K42">
        <v>60794.29</v>
      </c>
    </row>
    <row r="43" spans="1:11" s="3" customFormat="1" x14ac:dyDescent="0.3">
      <c r="A43" s="3" t="s">
        <v>2</v>
      </c>
      <c r="B43">
        <v>52086.68</v>
      </c>
      <c r="C43">
        <v>48076.92</v>
      </c>
      <c r="D43">
        <v>47788.92</v>
      </c>
      <c r="E43">
        <v>47744.81</v>
      </c>
      <c r="F43">
        <v>49658.89</v>
      </c>
      <c r="G43">
        <v>45750.58</v>
      </c>
      <c r="H43">
        <v>49792.75</v>
      </c>
      <c r="I43">
        <v>48802.7</v>
      </c>
      <c r="J43">
        <v>53441.47</v>
      </c>
      <c r="K43">
        <v>51529.95</v>
      </c>
    </row>
    <row r="44" spans="1:11" s="3" customFormat="1" x14ac:dyDescent="0.3">
      <c r="A44" s="3" t="s">
        <v>4</v>
      </c>
      <c r="B44">
        <v>-381.56</v>
      </c>
      <c r="C44">
        <v>-5.51</v>
      </c>
      <c r="D44">
        <v>616.67999999999995</v>
      </c>
      <c r="E44">
        <v>141.82</v>
      </c>
      <c r="F44">
        <v>149.19</v>
      </c>
      <c r="G44">
        <v>236.27</v>
      </c>
      <c r="H44">
        <v>-6.11</v>
      </c>
      <c r="I44">
        <v>465.17</v>
      </c>
      <c r="J44">
        <v>42.49</v>
      </c>
      <c r="K44">
        <v>-16.649999999999999</v>
      </c>
    </row>
    <row r="45" spans="1:11" s="3" customFormat="1" x14ac:dyDescent="0.3">
      <c r="A45" s="3" t="s">
        <v>5</v>
      </c>
      <c r="B45">
        <v>2567.9499999999998</v>
      </c>
      <c r="C45">
        <v>2535.4299999999998</v>
      </c>
      <c r="D45">
        <v>2596.7399999999998</v>
      </c>
      <c r="E45">
        <v>2569.19</v>
      </c>
      <c r="F45">
        <v>2719.97</v>
      </c>
      <c r="G45">
        <v>2744.3</v>
      </c>
      <c r="H45">
        <v>2893</v>
      </c>
      <c r="I45">
        <v>3048.81</v>
      </c>
      <c r="J45">
        <v>3268.4</v>
      </c>
      <c r="K45">
        <v>3639.65</v>
      </c>
    </row>
    <row r="46" spans="1:11" s="3" customFormat="1" x14ac:dyDescent="0.3">
      <c r="A46" s="3" t="s">
        <v>6</v>
      </c>
      <c r="B46">
        <v>1842.25</v>
      </c>
      <c r="C46">
        <v>1776.71</v>
      </c>
      <c r="D46">
        <v>1971.4</v>
      </c>
      <c r="E46">
        <v>1804.09</v>
      </c>
      <c r="F46">
        <v>1788.75</v>
      </c>
      <c r="G46">
        <v>1852.43</v>
      </c>
      <c r="H46">
        <v>1774.96</v>
      </c>
      <c r="I46">
        <v>1747.29</v>
      </c>
      <c r="J46">
        <v>1792.38</v>
      </c>
      <c r="K46">
        <v>1770.51</v>
      </c>
    </row>
    <row r="47" spans="1:11" s="3" customFormat="1" x14ac:dyDescent="0.3">
      <c r="A47" s="3" t="s">
        <v>7</v>
      </c>
      <c r="B47">
        <v>1808.87</v>
      </c>
      <c r="C47">
        <v>2376.8200000000002</v>
      </c>
      <c r="D47">
        <v>2164.33</v>
      </c>
      <c r="E47">
        <v>1672.03</v>
      </c>
      <c r="F47">
        <v>2199.69</v>
      </c>
      <c r="G47">
        <v>3067.08</v>
      </c>
      <c r="H47">
        <v>4222.47</v>
      </c>
      <c r="I47">
        <v>3868.77</v>
      </c>
      <c r="J47">
        <v>4810.37</v>
      </c>
      <c r="K47">
        <v>3837.53</v>
      </c>
    </row>
    <row r="48" spans="1:11" s="3" customFormat="1" x14ac:dyDescent="0.3">
      <c r="A48" s="3" t="s">
        <v>8</v>
      </c>
      <c r="B48">
        <v>1254.31</v>
      </c>
      <c r="C48">
        <v>1458.25</v>
      </c>
      <c r="D48">
        <v>1405.49</v>
      </c>
      <c r="E48">
        <v>1376.54</v>
      </c>
      <c r="F48">
        <v>998.81</v>
      </c>
      <c r="G48">
        <v>1059.72</v>
      </c>
      <c r="H48">
        <v>1039.3800000000001</v>
      </c>
      <c r="I48">
        <v>1138.4000000000001</v>
      </c>
      <c r="J48">
        <v>1845.37</v>
      </c>
      <c r="K48">
        <v>1452.29</v>
      </c>
    </row>
    <row r="49" spans="1:11" s="3" customFormat="1" x14ac:dyDescent="0.3">
      <c r="A49" s="3" t="s">
        <v>9</v>
      </c>
      <c r="B49">
        <v>611.48</v>
      </c>
      <c r="C49">
        <v>959.61</v>
      </c>
      <c r="D49">
        <v>833.45</v>
      </c>
      <c r="E49">
        <v>326.64</v>
      </c>
      <c r="F49">
        <v>1300.81</v>
      </c>
      <c r="G49">
        <v>2077.6799999999998</v>
      </c>
      <c r="H49">
        <v>3101.75</v>
      </c>
      <c r="I49">
        <v>2688.7</v>
      </c>
      <c r="J49">
        <v>2925.74</v>
      </c>
      <c r="K49">
        <v>2318.35</v>
      </c>
    </row>
    <row r="50" spans="1:11" x14ac:dyDescent="0.3">
      <c r="A50" s="3" t="s">
        <v>3</v>
      </c>
      <c r="B50">
        <v>6600.63</v>
      </c>
      <c r="C50">
        <v>6694.47</v>
      </c>
      <c r="D50">
        <v>6115.79</v>
      </c>
      <c r="E50">
        <v>5903.49</v>
      </c>
      <c r="F50">
        <v>6559.22</v>
      </c>
      <c r="G50">
        <v>7427.54</v>
      </c>
      <c r="H50">
        <v>8896.5400000000009</v>
      </c>
      <c r="I50">
        <v>8199.7000000000007</v>
      </c>
      <c r="J50">
        <v>9828.66</v>
      </c>
      <c r="K50">
        <v>9264.34</v>
      </c>
    </row>
    <row r="51" spans="1:11" x14ac:dyDescent="0.3">
      <c r="A51" s="3"/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3" t="s">
        <v>10</v>
      </c>
      <c r="B57">
        <v>970.24</v>
      </c>
      <c r="C57">
        <v>1144.95</v>
      </c>
      <c r="D57">
        <v>1144.94</v>
      </c>
      <c r="E57">
        <v>1144.95</v>
      </c>
      <c r="F57">
        <v>1197.6099999999999</v>
      </c>
      <c r="G57">
        <v>1221.21</v>
      </c>
      <c r="H57">
        <v>1221.24</v>
      </c>
      <c r="I57">
        <v>1247.44</v>
      </c>
      <c r="J57">
        <v>1247.44</v>
      </c>
      <c r="K57">
        <v>1247.44</v>
      </c>
    </row>
    <row r="58" spans="1:11" x14ac:dyDescent="0.3">
      <c r="A58" s="3" t="s">
        <v>11</v>
      </c>
      <c r="B58">
        <v>36849.08</v>
      </c>
      <c r="C58">
        <v>59725.67</v>
      </c>
      <c r="D58">
        <v>67780.14</v>
      </c>
      <c r="E58">
        <v>72431.350000000006</v>
      </c>
      <c r="F58">
        <v>73041.16</v>
      </c>
      <c r="G58">
        <v>113221.83</v>
      </c>
      <c r="H58">
        <v>101860.86</v>
      </c>
      <c r="I58">
        <v>90788.32</v>
      </c>
      <c r="J58">
        <v>89922.19</v>
      </c>
      <c r="K58">
        <v>100920.21</v>
      </c>
    </row>
    <row r="59" spans="1:11" x14ac:dyDescent="0.3">
      <c r="A59" s="3" t="s">
        <v>35</v>
      </c>
      <c r="B59">
        <v>83014.490000000005</v>
      </c>
      <c r="C59">
        <v>92147.05</v>
      </c>
      <c r="D59">
        <v>100816.22</v>
      </c>
      <c r="E59">
        <v>116328.2</v>
      </c>
      <c r="F59">
        <v>88501.41</v>
      </c>
      <c r="G59">
        <v>75561.350000000006</v>
      </c>
      <c r="H59">
        <v>84893.05</v>
      </c>
      <c r="I59">
        <v>87082.12</v>
      </c>
      <c r="J59">
        <v>94801.05</v>
      </c>
      <c r="K59">
        <v>92381.68</v>
      </c>
    </row>
    <row r="60" spans="1:11" x14ac:dyDescent="0.3">
      <c r="A60" s="3" t="s">
        <v>36</v>
      </c>
      <c r="B60">
        <v>51613.56</v>
      </c>
      <c r="C60">
        <v>55704.47</v>
      </c>
      <c r="D60">
        <v>63032.14</v>
      </c>
      <c r="E60">
        <v>59244.62</v>
      </c>
      <c r="F60">
        <v>81169.009999999995</v>
      </c>
      <c r="G60">
        <v>92417.279999999999</v>
      </c>
      <c r="H60">
        <v>97420.63</v>
      </c>
      <c r="I60">
        <v>90194.54</v>
      </c>
      <c r="J60">
        <v>89487.9</v>
      </c>
      <c r="K60">
        <v>101965.29</v>
      </c>
    </row>
    <row r="61" spans="1:11" s="1" customFormat="1" x14ac:dyDescent="0.3">
      <c r="A61" s="1" t="s">
        <v>12</v>
      </c>
      <c r="B61">
        <v>172447.37</v>
      </c>
      <c r="C61">
        <v>208722.14</v>
      </c>
      <c r="D61">
        <v>232773.44</v>
      </c>
      <c r="E61">
        <v>249149.12</v>
      </c>
      <c r="F61">
        <v>243909.19</v>
      </c>
      <c r="G61">
        <v>282421.67</v>
      </c>
      <c r="H61">
        <v>285395.78000000003</v>
      </c>
      <c r="I61">
        <v>269312.42</v>
      </c>
      <c r="J61">
        <v>275458.58</v>
      </c>
      <c r="K61">
        <v>296514.62</v>
      </c>
    </row>
    <row r="62" spans="1:11" x14ac:dyDescent="0.3">
      <c r="A62" s="3" t="s">
        <v>13</v>
      </c>
      <c r="B62">
        <v>92006.55</v>
      </c>
      <c r="C62">
        <v>96104.89</v>
      </c>
      <c r="D62">
        <v>124441.91</v>
      </c>
      <c r="E62">
        <v>134550.66</v>
      </c>
      <c r="F62">
        <v>135775.18</v>
      </c>
      <c r="G62">
        <v>133287.82999999999</v>
      </c>
      <c r="H62">
        <v>146621.46</v>
      </c>
      <c r="I62">
        <v>148814.38</v>
      </c>
      <c r="J62">
        <v>150914.06</v>
      </c>
      <c r="K62">
        <v>179908.13</v>
      </c>
    </row>
    <row r="63" spans="1:11" x14ac:dyDescent="0.3">
      <c r="A63" s="3" t="s">
        <v>14</v>
      </c>
      <c r="B63">
        <v>15784.13</v>
      </c>
      <c r="C63">
        <v>16614.41</v>
      </c>
      <c r="D63">
        <v>18641.21</v>
      </c>
      <c r="E63">
        <v>19496.830000000002</v>
      </c>
      <c r="F63">
        <v>19007.400000000001</v>
      </c>
      <c r="G63">
        <v>22045.55</v>
      </c>
      <c r="H63">
        <v>31213.02</v>
      </c>
      <c r="I63">
        <v>34355.53</v>
      </c>
      <c r="J63">
        <v>41622.35</v>
      </c>
      <c r="K63">
        <v>28496.71</v>
      </c>
    </row>
    <row r="64" spans="1:11" x14ac:dyDescent="0.3">
      <c r="A64" s="3" t="s">
        <v>15</v>
      </c>
      <c r="B64">
        <v>12457.12</v>
      </c>
      <c r="C64">
        <v>17899.47</v>
      </c>
      <c r="D64">
        <v>5738.17</v>
      </c>
      <c r="E64">
        <v>6285.18</v>
      </c>
      <c r="F64">
        <v>10681.93</v>
      </c>
      <c r="G64">
        <v>13139.85</v>
      </c>
      <c r="H64">
        <v>8410.31</v>
      </c>
      <c r="I64">
        <v>6257.57</v>
      </c>
      <c r="J64">
        <v>6194.11</v>
      </c>
      <c r="K64">
        <v>7088.85</v>
      </c>
    </row>
    <row r="65" spans="1:11" x14ac:dyDescent="0.3">
      <c r="A65" s="3" t="s">
        <v>37</v>
      </c>
      <c r="B65">
        <v>52199.57</v>
      </c>
      <c r="C65">
        <v>78103.37</v>
      </c>
      <c r="D65">
        <v>83952.15</v>
      </c>
      <c r="E65">
        <v>88816.45</v>
      </c>
      <c r="F65">
        <v>78444.679999999993</v>
      </c>
      <c r="G65">
        <v>113948.44</v>
      </c>
      <c r="H65">
        <v>99150.99</v>
      </c>
      <c r="I65">
        <v>79884.94</v>
      </c>
      <c r="J65">
        <v>76728.06</v>
      </c>
      <c r="K65">
        <v>81020.929999999993</v>
      </c>
    </row>
    <row r="66" spans="1:11" s="1" customFormat="1" x14ac:dyDescent="0.3">
      <c r="A66" s="1" t="s">
        <v>12</v>
      </c>
      <c r="B66">
        <v>172447.37</v>
      </c>
      <c r="C66">
        <v>208722.14</v>
      </c>
      <c r="D66">
        <v>232773.44</v>
      </c>
      <c r="E66">
        <v>249149.12</v>
      </c>
      <c r="F66">
        <v>243909.19</v>
      </c>
      <c r="G66">
        <v>282421.67</v>
      </c>
      <c r="H66">
        <v>285395.78000000003</v>
      </c>
      <c r="I66">
        <v>269312.42</v>
      </c>
      <c r="J66">
        <v>275458.58</v>
      </c>
      <c r="K66">
        <v>296514.62</v>
      </c>
    </row>
    <row r="67" spans="1:11" s="3" customFormat="1" x14ac:dyDescent="0.3">
      <c r="A67" s="3" t="s">
        <v>42</v>
      </c>
      <c r="B67">
        <v>11586.82</v>
      </c>
      <c r="C67">
        <v>12415.52</v>
      </c>
      <c r="D67">
        <v>11811</v>
      </c>
      <c r="E67">
        <v>7884.91</v>
      </c>
      <c r="F67">
        <v>9539.84</v>
      </c>
      <c r="G67">
        <v>12246.43</v>
      </c>
      <c r="H67">
        <v>8257.24</v>
      </c>
      <c r="I67">
        <v>6263.53</v>
      </c>
      <c r="J67">
        <v>5260.06</v>
      </c>
      <c r="K67">
        <v>4916.8900000000003</v>
      </c>
    </row>
    <row r="68" spans="1:11" x14ac:dyDescent="0.3">
      <c r="A68" s="3" t="s">
        <v>29</v>
      </c>
      <c r="B68">
        <v>24803.82</v>
      </c>
      <c r="C68">
        <v>28331.040000000001</v>
      </c>
      <c r="D68">
        <v>31656.1</v>
      </c>
      <c r="E68">
        <v>31068.720000000001</v>
      </c>
      <c r="F68">
        <v>33276.379999999997</v>
      </c>
      <c r="G68">
        <v>48824.39</v>
      </c>
      <c r="H68">
        <v>54415.33</v>
      </c>
      <c r="I68">
        <v>49157.51</v>
      </c>
      <c r="J68">
        <v>44589.94</v>
      </c>
      <c r="K68">
        <v>47249.22</v>
      </c>
    </row>
    <row r="69" spans="1:11" x14ac:dyDescent="0.3">
      <c r="A69" s="2" t="s">
        <v>51</v>
      </c>
      <c r="B69">
        <v>4921.05</v>
      </c>
      <c r="C69">
        <v>7937.85</v>
      </c>
      <c r="D69">
        <v>3341.37</v>
      </c>
      <c r="E69">
        <v>8054.72</v>
      </c>
      <c r="F69">
        <v>5782.18</v>
      </c>
      <c r="G69">
        <v>15898.93</v>
      </c>
      <c r="H69">
        <v>13357.26</v>
      </c>
      <c r="I69">
        <v>8677.7199999999993</v>
      </c>
      <c r="J69">
        <v>11646.98</v>
      </c>
      <c r="K69">
        <v>10057.530000000001</v>
      </c>
    </row>
    <row r="70" spans="1:11" x14ac:dyDescent="0.3">
      <c r="A70" s="2" t="s">
        <v>38</v>
      </c>
      <c r="B70">
        <v>970436562</v>
      </c>
      <c r="C70">
        <v>1203340563</v>
      </c>
      <c r="D70">
        <v>1203331928</v>
      </c>
      <c r="E70">
        <v>1203332459</v>
      </c>
      <c r="F70">
        <v>1203334622</v>
      </c>
      <c r="G70">
        <v>1221566453</v>
      </c>
      <c r="H70">
        <v>12212353070</v>
      </c>
      <c r="I70">
        <v>12474347611</v>
      </c>
      <c r="J70">
        <v>12477659071</v>
      </c>
      <c r="K70">
        <v>12477659071</v>
      </c>
    </row>
    <row r="71" spans="1:11" x14ac:dyDescent="0.3">
      <c r="A71" s="2" t="s">
        <v>39</v>
      </c>
    </row>
    <row r="72" spans="1:11" x14ac:dyDescent="0.3">
      <c r="A72" s="2" t="s">
        <v>52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3"/>
    </row>
    <row r="75" spans="1:11" x14ac:dyDescent="0.3">
      <c r="A75" s="2" t="s">
        <v>37</v>
      </c>
      <c r="B75" s="2">
        <f>B65-SUM(B67:B69)</f>
        <v>10887.879999999997</v>
      </c>
      <c r="C75" s="2">
        <f t="shared" ref="C75:K75" si="1">C65-SUM(C67:C69)</f>
        <v>29418.959999999999</v>
      </c>
      <c r="D75" s="2">
        <f t="shared" si="1"/>
        <v>37143.679999999993</v>
      </c>
      <c r="E75" s="2">
        <f t="shared" si="1"/>
        <v>41808.099999999991</v>
      </c>
      <c r="F75" s="2">
        <f t="shared" si="1"/>
        <v>29846.279999999992</v>
      </c>
      <c r="G75" s="2">
        <f t="shared" si="1"/>
        <v>36978.69</v>
      </c>
      <c r="H75" s="2">
        <f t="shared" si="1"/>
        <v>23121.160000000003</v>
      </c>
      <c r="I75" s="2">
        <f t="shared" si="1"/>
        <v>15786.18</v>
      </c>
      <c r="J75" s="2">
        <f t="shared" si="1"/>
        <v>15231.080000000002</v>
      </c>
      <c r="K75" s="2">
        <f t="shared" si="1"/>
        <v>18797.289999999994</v>
      </c>
    </row>
    <row r="76" spans="1:11" x14ac:dyDescent="0.3">
      <c r="A76" s="3"/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2" s="6" customFormat="1" x14ac:dyDescent="0.3">
      <c r="A81" s="5" t="s">
        <v>23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2" s="1" customFormat="1" x14ac:dyDescent="0.3">
      <c r="A82" s="3" t="s">
        <v>17</v>
      </c>
      <c r="B82">
        <v>10824.36</v>
      </c>
      <c r="C82">
        <v>8023.39</v>
      </c>
      <c r="D82">
        <v>25335.95</v>
      </c>
      <c r="E82">
        <v>20168.72</v>
      </c>
      <c r="F82">
        <v>44326.68</v>
      </c>
      <c r="G82">
        <v>44380.99</v>
      </c>
      <c r="H82">
        <v>21683.08</v>
      </c>
      <c r="I82">
        <v>20300.669999999998</v>
      </c>
      <c r="J82">
        <v>23137.58</v>
      </c>
      <c r="K82">
        <v>35064.46</v>
      </c>
    </row>
    <row r="83" spans="1:12" s="3" customFormat="1" x14ac:dyDescent="0.3">
      <c r="A83" s="3" t="s">
        <v>18</v>
      </c>
      <c r="B83">
        <v>-9489.65</v>
      </c>
      <c r="C83">
        <v>-11730.31</v>
      </c>
      <c r="D83">
        <v>-29176.45</v>
      </c>
      <c r="E83">
        <v>-14012.06</v>
      </c>
      <c r="F83">
        <v>-9437.27</v>
      </c>
      <c r="G83">
        <v>-10905.02</v>
      </c>
      <c r="H83">
        <v>-18179.45</v>
      </c>
      <c r="I83">
        <v>-14252.74</v>
      </c>
      <c r="J83">
        <v>-13611.02</v>
      </c>
      <c r="K83">
        <v>-14397.35</v>
      </c>
    </row>
    <row r="84" spans="1:12" s="3" customFormat="1" x14ac:dyDescent="0.3">
      <c r="A84" s="3" t="s">
        <v>19</v>
      </c>
      <c r="B84">
        <v>-2579.36</v>
      </c>
      <c r="C84">
        <v>6639.94</v>
      </c>
      <c r="D84">
        <v>-672.7</v>
      </c>
      <c r="E84">
        <v>-1694.62</v>
      </c>
      <c r="F84">
        <v>-37089.67</v>
      </c>
      <c r="G84">
        <v>-23401.09</v>
      </c>
      <c r="H84">
        <v>-6980.69</v>
      </c>
      <c r="I84">
        <v>-11096.99</v>
      </c>
      <c r="J84">
        <v>-7002.44</v>
      </c>
      <c r="K84">
        <v>-21387.119999999999</v>
      </c>
    </row>
    <row r="85" spans="1:12" s="1" customFormat="1" x14ac:dyDescent="0.3">
      <c r="A85" s="3" t="s">
        <v>20</v>
      </c>
      <c r="B85">
        <v>-1244.6500000000001</v>
      </c>
      <c r="C85">
        <v>2933.02</v>
      </c>
      <c r="D85">
        <v>-4513.2</v>
      </c>
      <c r="E85">
        <v>4462.04</v>
      </c>
      <c r="F85">
        <v>-2200.2600000000002</v>
      </c>
      <c r="G85">
        <v>10074.879999999999</v>
      </c>
      <c r="H85">
        <v>-3477.06</v>
      </c>
      <c r="I85">
        <v>-5049.0600000000004</v>
      </c>
      <c r="J85">
        <v>2524.12</v>
      </c>
      <c r="K85">
        <v>-720.01</v>
      </c>
    </row>
    <row r="86" spans="1:12" x14ac:dyDescent="0.3">
      <c r="A86" s="3"/>
    </row>
    <row r="87" spans="1:12" x14ac:dyDescent="0.3">
      <c r="A87" s="3"/>
    </row>
    <row r="88" spans="1:12" x14ac:dyDescent="0.3">
      <c r="A88" s="3"/>
    </row>
    <row r="89" spans="1:12" x14ac:dyDescent="0.3">
      <c r="A89" s="3"/>
    </row>
    <row r="90" spans="1:12" s="1" customFormat="1" x14ac:dyDescent="0.3">
      <c r="A90" s="1" t="s">
        <v>41</v>
      </c>
      <c r="B90">
        <v>45.99</v>
      </c>
      <c r="C90">
        <v>57.11</v>
      </c>
      <c r="D90">
        <v>52.1</v>
      </c>
      <c r="E90">
        <v>26.96</v>
      </c>
      <c r="F90">
        <v>81.19</v>
      </c>
      <c r="G90">
        <v>130.72</v>
      </c>
      <c r="H90">
        <v>104.5</v>
      </c>
      <c r="I90">
        <v>155.85</v>
      </c>
      <c r="J90">
        <v>154.24</v>
      </c>
      <c r="K90">
        <v>191.86</v>
      </c>
    </row>
    <row r="92" spans="1:12" s="1" customFormat="1" x14ac:dyDescent="0.3">
      <c r="A92" s="1" t="s">
        <v>40</v>
      </c>
    </row>
    <row r="93" spans="1:12" x14ac:dyDescent="0.3">
      <c r="A93" s="2" t="s">
        <v>53</v>
      </c>
      <c r="B93" s="7">
        <v>1126.6199999999999</v>
      </c>
      <c r="C93" s="7">
        <v>1126.48</v>
      </c>
      <c r="D93" s="7">
        <v>1126.49</v>
      </c>
      <c r="E93" s="7">
        <v>1126.49</v>
      </c>
      <c r="F93" s="7">
        <v>1196.5899999999999</v>
      </c>
      <c r="G93" s="7">
        <v>1221.3</v>
      </c>
      <c r="H93" s="7">
        <v>1222.1500000000001</v>
      </c>
      <c r="I93" s="7">
        <v>1248.3499999999999</v>
      </c>
      <c r="J93" s="7">
        <v>1248.3499999999999</v>
      </c>
      <c r="K93" s="7">
        <v>1248.3499999999999</v>
      </c>
    </row>
    <row r="96" spans="1:12" x14ac:dyDescent="0.3">
      <c r="A96" s="2" t="s">
        <v>353</v>
      </c>
      <c r="B96" s="2">
        <f>B93*B90</f>
        <v>51813.253799999999</v>
      </c>
      <c r="C96" s="2">
        <f t="shared" ref="C96:L96" si="2">C93*C90</f>
        <v>64333.272799999999</v>
      </c>
      <c r="D96" s="2">
        <f t="shared" si="2"/>
        <v>58690.129000000001</v>
      </c>
      <c r="E96" s="2">
        <f t="shared" si="2"/>
        <v>30370.170400000003</v>
      </c>
      <c r="F96" s="2">
        <f t="shared" si="2"/>
        <v>97151.142099999997</v>
      </c>
      <c r="G96" s="2">
        <f t="shared" si="2"/>
        <v>159648.33599999998</v>
      </c>
      <c r="H96" s="2">
        <f t="shared" si="2"/>
        <v>127714.675</v>
      </c>
      <c r="I96" s="2">
        <f t="shared" si="2"/>
        <v>194555.34749999997</v>
      </c>
      <c r="J96" s="2">
        <f t="shared" si="2"/>
        <v>192545.50399999999</v>
      </c>
      <c r="K96" s="2">
        <f t="shared" si="2"/>
        <v>239508.43100000001</v>
      </c>
      <c r="L96" s="2">
        <f t="shared" si="2"/>
        <v>0</v>
      </c>
    </row>
    <row r="98" spans="1:11" x14ac:dyDescent="0.3">
      <c r="A98" s="2" t="s">
        <v>207</v>
      </c>
      <c r="B98" s="2">
        <f>B59</f>
        <v>83014.490000000005</v>
      </c>
      <c r="C98" s="2">
        <f t="shared" ref="C98:K98" si="3">C59</f>
        <v>92147.05</v>
      </c>
      <c r="D98" s="2">
        <f t="shared" si="3"/>
        <v>100816.22</v>
      </c>
      <c r="E98" s="2">
        <f t="shared" si="3"/>
        <v>116328.2</v>
      </c>
      <c r="F98" s="2">
        <f t="shared" si="3"/>
        <v>88501.41</v>
      </c>
      <c r="G98" s="2">
        <f t="shared" si="3"/>
        <v>75561.350000000006</v>
      </c>
      <c r="H98" s="2">
        <f t="shared" si="3"/>
        <v>84893.05</v>
      </c>
      <c r="I98" s="2">
        <f t="shared" si="3"/>
        <v>87082.12</v>
      </c>
      <c r="J98" s="2">
        <f t="shared" si="3"/>
        <v>94801.05</v>
      </c>
      <c r="K98" s="2">
        <f t="shared" si="3"/>
        <v>92381.68</v>
      </c>
    </row>
    <row r="99" spans="1:11" x14ac:dyDescent="0.3">
      <c r="A99" s="2" t="s">
        <v>354</v>
      </c>
      <c r="B99" s="2">
        <f t="shared" ref="B99:K99" si="4">B69</f>
        <v>4921.05</v>
      </c>
      <c r="C99" s="2">
        <f t="shared" si="4"/>
        <v>7937.85</v>
      </c>
      <c r="D99" s="2">
        <f t="shared" si="4"/>
        <v>3341.37</v>
      </c>
      <c r="E99" s="2">
        <f t="shared" si="4"/>
        <v>8054.72</v>
      </c>
      <c r="F99" s="2">
        <f t="shared" si="4"/>
        <v>5782.18</v>
      </c>
      <c r="G99" s="2">
        <f t="shared" si="4"/>
        <v>15898.93</v>
      </c>
      <c r="H99" s="2">
        <f t="shared" si="4"/>
        <v>13357.26</v>
      </c>
      <c r="I99" s="2">
        <f t="shared" si="4"/>
        <v>8677.7199999999993</v>
      </c>
      <c r="J99" s="2">
        <f t="shared" si="4"/>
        <v>11646.98</v>
      </c>
      <c r="K99" s="2">
        <f t="shared" si="4"/>
        <v>10057.530000000001</v>
      </c>
    </row>
    <row r="100" spans="1:11" x14ac:dyDescent="0.3">
      <c r="A100" s="2" t="s">
        <v>339</v>
      </c>
      <c r="B100" s="2">
        <f>B96+B98-B99</f>
        <v>129906.69379999999</v>
      </c>
      <c r="C100" s="2">
        <f t="shared" ref="C100:K100" si="5">C96+C98-C99</f>
        <v>148542.47279999999</v>
      </c>
      <c r="D100" s="2">
        <f t="shared" si="5"/>
        <v>156164.97899999999</v>
      </c>
      <c r="E100" s="2">
        <f t="shared" si="5"/>
        <v>138643.65040000001</v>
      </c>
      <c r="F100" s="2">
        <f t="shared" si="5"/>
        <v>179870.37210000001</v>
      </c>
      <c r="G100" s="2">
        <f t="shared" si="5"/>
        <v>219310.75599999999</v>
      </c>
      <c r="H100" s="2">
        <f t="shared" si="5"/>
        <v>199250.465</v>
      </c>
      <c r="I100" s="2">
        <f t="shared" si="5"/>
        <v>272959.7475</v>
      </c>
      <c r="J100" s="2">
        <f t="shared" si="5"/>
        <v>275699.57400000002</v>
      </c>
      <c r="K100" s="2">
        <f t="shared" si="5"/>
        <v>321832.58100000001</v>
      </c>
    </row>
    <row r="102" spans="1:11" x14ac:dyDescent="0.3">
      <c r="A102" s="2" t="s">
        <v>326</v>
      </c>
      <c r="B102" s="2">
        <f>B100/'HistoricalFS '!C17</f>
        <v>9.8836237629939365</v>
      </c>
      <c r="C102" s="2">
        <f>C100/'HistoricalFS '!D17</f>
        <v>6.9304883127523231</v>
      </c>
      <c r="D102" s="2">
        <f>D100/'HistoricalFS '!E17</f>
        <v>5.3265504863528541</v>
      </c>
      <c r="E102" s="2">
        <f>E100/'HistoricalFS '!F17</f>
        <v>7.9392529373431673</v>
      </c>
      <c r="F102" s="2">
        <f>F100/'HistoricalFS '!G17</f>
        <v>5.8965656632876877</v>
      </c>
      <c r="G102" s="2">
        <f>G100/'HistoricalFS '!H17</f>
        <v>3.4542593906594656</v>
      </c>
      <c r="H102" s="2">
        <f>H100/'HistoricalFS '!I17</f>
        <v>6.1687144893399877</v>
      </c>
      <c r="I102" s="2">
        <f>I100/'HistoricalFS '!J17</f>
        <v>12.269000765015335</v>
      </c>
      <c r="J102" s="2">
        <f>J100/'HistoricalFS '!K17</f>
        <v>10.897884020562531</v>
      </c>
      <c r="K102" s="2">
        <f>K100/'HistoricalFS '!L17</f>
        <v>9.3685508511185809</v>
      </c>
    </row>
    <row r="103" spans="1:11" x14ac:dyDescent="0.3">
      <c r="A103" s="2" t="s">
        <v>355</v>
      </c>
      <c r="B103" s="2">
        <f>B100/B17</f>
        <v>1.1567886441443775</v>
      </c>
      <c r="C103" s="2">
        <f t="shared" ref="C103:K103" si="6">C100/C17</f>
        <v>1.205221855223735</v>
      </c>
      <c r="D103" s="2">
        <f t="shared" si="6"/>
        <v>0.99046095874654871</v>
      </c>
      <c r="E103" s="2">
        <f t="shared" si="6"/>
        <v>0.99161044410662125</v>
      </c>
      <c r="F103" s="2">
        <f t="shared" si="6"/>
        <v>1.1494974488328666</v>
      </c>
      <c r="G103" s="2">
        <f t="shared" si="6"/>
        <v>0.89896500303718851</v>
      </c>
      <c r="H103" s="2">
        <f t="shared" si="6"/>
        <v>0.81877239573558847</v>
      </c>
      <c r="I103" s="2">
        <f t="shared" si="6"/>
        <v>1.1910757012739581</v>
      </c>
      <c r="J103" s="2">
        <f t="shared" si="6"/>
        <v>1.2615375104825144</v>
      </c>
      <c r="K103" s="2">
        <f t="shared" si="6"/>
        <v>1.3863731549168143</v>
      </c>
    </row>
    <row r="104" spans="1:11" x14ac:dyDescent="0.3">
      <c r="A104" s="2" t="s">
        <v>356</v>
      </c>
      <c r="B104" s="2">
        <f>B57+B58</f>
        <v>37819.32</v>
      </c>
      <c r="C104" s="2">
        <f t="shared" ref="C104:K104" si="7">C57+C58</f>
        <v>60870.619999999995</v>
      </c>
      <c r="D104" s="2">
        <f t="shared" si="7"/>
        <v>68925.08</v>
      </c>
      <c r="E104" s="2">
        <f t="shared" si="7"/>
        <v>73576.3</v>
      </c>
      <c r="F104" s="2">
        <f t="shared" si="7"/>
        <v>74238.77</v>
      </c>
      <c r="G104" s="2">
        <f t="shared" si="7"/>
        <v>114443.04000000001</v>
      </c>
      <c r="H104" s="2">
        <f t="shared" si="7"/>
        <v>103082.1</v>
      </c>
      <c r="I104" s="2">
        <f t="shared" si="7"/>
        <v>92035.760000000009</v>
      </c>
      <c r="J104" s="2">
        <f t="shared" si="7"/>
        <v>91169.63</v>
      </c>
      <c r="K104" s="2">
        <f t="shared" si="7"/>
        <v>102167.65000000001</v>
      </c>
    </row>
    <row r="106" spans="1:11" x14ac:dyDescent="0.3">
      <c r="A106" s="2" t="s">
        <v>357</v>
      </c>
      <c r="B106" s="2">
        <f>B96/B104</f>
        <v>1.3700207671634497</v>
      </c>
      <c r="C106" s="2">
        <f t="shared" ref="C106:K106" si="8">C96/C104</f>
        <v>1.0568854531135055</v>
      </c>
      <c r="D106" s="2">
        <f t="shared" si="8"/>
        <v>0.85150614261165891</v>
      </c>
      <c r="E106" s="2">
        <f t="shared" si="8"/>
        <v>0.41277110156395475</v>
      </c>
      <c r="F106" s="2">
        <f t="shared" si="8"/>
        <v>1.3086308151387744</v>
      </c>
      <c r="G106" s="2">
        <f t="shared" si="8"/>
        <v>1.3950025794491301</v>
      </c>
      <c r="H106" s="2">
        <f t="shared" si="8"/>
        <v>1.2389607410015899</v>
      </c>
      <c r="I106" s="2">
        <f t="shared" si="8"/>
        <v>2.1139103702734672</v>
      </c>
      <c r="J106" s="2">
        <f t="shared" si="8"/>
        <v>2.1119478493002548</v>
      </c>
      <c r="K106" s="2">
        <f t="shared" si="8"/>
        <v>2.3442687680493774</v>
      </c>
    </row>
    <row r="108" spans="1:11" x14ac:dyDescent="0.3">
      <c r="A108" s="2" t="s">
        <v>327</v>
      </c>
      <c r="B108" s="2">
        <f>'HistoricalFS '!C32/'Data Sheet'!B96</f>
        <v>-7.3236087713140132E-3</v>
      </c>
      <c r="C108" s="2">
        <f>'HistoricalFS '!D32/'Data Sheet'!C96</f>
        <v>0.10639004829239783</v>
      </c>
      <c r="D108" s="2">
        <f>'HistoricalFS '!E32/'Data Sheet'!D96</f>
        <v>0.1294572039533258</v>
      </c>
      <c r="E108" s="2">
        <f>'HistoricalFS '!F32/'Data Sheet'!E96</f>
        <v>0.13359424549030538</v>
      </c>
      <c r="F108" s="2">
        <f>'HistoricalFS '!G32/'Data Sheet'!F96</f>
        <v>8.2448953525992463E-2</v>
      </c>
      <c r="G108" s="2">
        <f>'HistoricalFS '!H32/'Data Sheet'!G96</f>
        <v>0.25336518383755668</v>
      </c>
      <c r="H108" s="2">
        <f>'HistoricalFS '!I32/'Data Sheet'!H96</f>
        <v>5.094551585399263E-2</v>
      </c>
      <c r="I108" s="2">
        <f>'HistoricalFS '!J32/'Data Sheet'!I96</f>
        <v>5.6314052226192459E-3</v>
      </c>
      <c r="J108" s="2">
        <f>'HistoricalFS '!K32/'Data Sheet'!J96</f>
        <v>1.1930063035904442E-2</v>
      </c>
      <c r="K108" s="2">
        <f>'HistoricalFS '!L32/'Data Sheet'!K96</f>
        <v>4.237011598142866E-2</v>
      </c>
    </row>
  </sheetData>
  <autoFilter ref="A16:K31" xr:uid="{00000000-0001-0000-0500-000000000000}"/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E8FA-2850-4ADC-BB10-469AC438881B}">
  <dimension ref="A2:N109"/>
  <sheetViews>
    <sheetView showGridLines="0" zoomScale="101" workbookViewId="0">
      <pane ySplit="3" topLeftCell="A5" activePane="bottomLeft" state="frozen"/>
      <selection pane="bottomLeft" activeCell="G10" sqref="G10"/>
    </sheetView>
  </sheetViews>
  <sheetFormatPr defaultRowHeight="14.4" x14ac:dyDescent="0.3"/>
  <cols>
    <col min="1" max="1" width="2.33203125" customWidth="1"/>
    <col min="2" max="2" width="25.88671875" bestFit="1" customWidth="1"/>
    <col min="3" max="13" width="13.109375" customWidth="1"/>
  </cols>
  <sheetData>
    <row r="2" spans="1:13" x14ac:dyDescent="0.3">
      <c r="B2" s="176" t="str">
        <f>"Historical Financial Statement- "&amp;'Data Sheet'!B1</f>
        <v>Historical Financial Statement- TATA STEEL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1:13" x14ac:dyDescent="0.3">
      <c r="B3" s="39" t="s">
        <v>54</v>
      </c>
      <c r="C3" s="40">
        <f>'Data Sheet'!B16</f>
        <v>42825</v>
      </c>
      <c r="D3" s="40">
        <f>'Data Sheet'!C16</f>
        <v>43190</v>
      </c>
      <c r="E3" s="40">
        <f>'Data Sheet'!D16</f>
        <v>43555</v>
      </c>
      <c r="F3" s="40">
        <f>'Data Sheet'!E16</f>
        <v>43921</v>
      </c>
      <c r="G3" s="40">
        <f>'Data Sheet'!F16</f>
        <v>44286</v>
      </c>
      <c r="H3" s="40">
        <f>'Data Sheet'!G16</f>
        <v>44651</v>
      </c>
      <c r="I3" s="40">
        <f>'Data Sheet'!H16</f>
        <v>45016</v>
      </c>
      <c r="J3" s="40">
        <f>'Data Sheet'!I16</f>
        <v>45382</v>
      </c>
      <c r="K3" s="40">
        <f>'Data Sheet'!J16</f>
        <v>45747</v>
      </c>
      <c r="L3" s="40">
        <f>'Data Sheet'!K16</f>
        <v>46112</v>
      </c>
      <c r="M3" s="42" t="s">
        <v>55</v>
      </c>
    </row>
    <row r="4" spans="1:13" x14ac:dyDescent="0.3">
      <c r="A4" t="s">
        <v>57</v>
      </c>
      <c r="B4" s="18" t="s">
        <v>56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x14ac:dyDescent="0.3">
      <c r="B5" t="s">
        <v>1</v>
      </c>
      <c r="C5" s="13">
        <f>IFERROR('Data Sheet'!B17,0)</f>
        <v>112299.42</v>
      </c>
      <c r="D5">
        <f>IFERROR('Data Sheet'!C17,0)</f>
        <v>123249.07</v>
      </c>
      <c r="E5">
        <f>IFERROR('Data Sheet'!D17,0)</f>
        <v>157668.99</v>
      </c>
      <c r="F5">
        <f>IFERROR('Data Sheet'!E17,0)</f>
        <v>139816.65</v>
      </c>
      <c r="G5">
        <f>IFERROR('Data Sheet'!F17,0)</f>
        <v>156477.4</v>
      </c>
      <c r="H5">
        <f>IFERROR('Data Sheet'!G17,0)</f>
        <v>243959.17</v>
      </c>
      <c r="I5">
        <f>IFERROR('Data Sheet'!H17,0)</f>
        <v>243352.69</v>
      </c>
      <c r="J5">
        <f>IFERROR('Data Sheet'!I17,0)</f>
        <v>229170.78</v>
      </c>
      <c r="K5">
        <f>IFERROR('Data Sheet'!J17,0)</f>
        <v>218542.51</v>
      </c>
      <c r="L5">
        <f>IFERROR('Data Sheet'!K17,0)</f>
        <v>232139.94</v>
      </c>
      <c r="M5">
        <f>IFERROR(SUM('Data Sheet'!H42:K42),0)</f>
        <v>239756.11000000002</v>
      </c>
    </row>
    <row r="6" spans="1:13" x14ac:dyDescent="0.3">
      <c r="B6" s="10" t="s">
        <v>58</v>
      </c>
      <c r="C6" s="11" t="s">
        <v>59</v>
      </c>
      <c r="D6" s="12">
        <f>D5/C5-1</f>
        <v>9.7504065470685575E-2</v>
      </c>
      <c r="E6" s="12">
        <f t="shared" ref="E6:M6" si="0">E5/D5-1</f>
        <v>0.27927123506895413</v>
      </c>
      <c r="F6" s="12">
        <f t="shared" si="0"/>
        <v>-0.11322670361495935</v>
      </c>
      <c r="G6" s="12">
        <f t="shared" si="0"/>
        <v>0.11916141604022124</v>
      </c>
      <c r="H6" s="12">
        <f t="shared" si="0"/>
        <v>0.55906968035000593</v>
      </c>
      <c r="I6" s="12">
        <f t="shared" si="0"/>
        <v>-2.4859897662383723E-3</v>
      </c>
      <c r="J6" s="12">
        <f t="shared" si="0"/>
        <v>-5.8277186087402622E-2</v>
      </c>
      <c r="K6" s="12">
        <f t="shared" si="0"/>
        <v>-4.6377073028245563E-2</v>
      </c>
      <c r="L6" s="12">
        <f t="shared" si="0"/>
        <v>6.2218696033096599E-2</v>
      </c>
      <c r="M6" s="12">
        <f t="shared" si="0"/>
        <v>3.2808529200102354E-2</v>
      </c>
    </row>
    <row r="8" spans="1:13" x14ac:dyDescent="0.3">
      <c r="B8" t="s">
        <v>60</v>
      </c>
      <c r="C8" s="13">
        <f>IFERROR(SUM('Data Sheet'!B18,'Data Sheet'!B20:B22) -1*'Data Sheet'!B19,0)</f>
        <v>77577.09</v>
      </c>
      <c r="D8" s="13">
        <f>IFERROR(SUM('Data Sheet'!C18,'Data Sheet'!C20:C22) -1*'Data Sheet'!C19,0)</f>
        <v>84710.05</v>
      </c>
      <c r="E8" s="13">
        <f>IFERROR(SUM('Data Sheet'!D18,'Data Sheet'!D20:D22) -1*'Data Sheet'!D19,0)</f>
        <v>105590.04999999999</v>
      </c>
      <c r="F8" s="13">
        <f>IFERROR(SUM('Data Sheet'!E18,'Data Sheet'!E20:E22) -1*'Data Sheet'!E19,0)</f>
        <v>102560.93999999999</v>
      </c>
      <c r="G8" s="13">
        <f>IFERROR(SUM('Data Sheet'!F18,'Data Sheet'!F20:F22) -1*'Data Sheet'!F19,0)</f>
        <v>102979.74</v>
      </c>
      <c r="H8" s="13">
        <f>IFERROR(SUM('Data Sheet'!G18,'Data Sheet'!G20:G22) -1*'Data Sheet'!G19,0)</f>
        <v>143605.19</v>
      </c>
      <c r="I8" s="13">
        <f>IFERROR(SUM('Data Sheet'!H18,'Data Sheet'!H20:H22) -1*'Data Sheet'!H19,0)</f>
        <v>178329.36</v>
      </c>
      <c r="J8" s="13">
        <f>IFERROR(SUM('Data Sheet'!I18,'Data Sheet'!I20:I22) -1*'Data Sheet'!I19,0)</f>
        <v>183154.84</v>
      </c>
      <c r="K8" s="13">
        <f>IFERROR(SUM('Data Sheet'!J18,'Data Sheet'!J20:J22) -1*'Data Sheet'!J19,0)</f>
        <v>171714.99000000002</v>
      </c>
      <c r="L8" s="13">
        <f>IFERROR(SUM('Data Sheet'!K18,'Data Sheet'!K20:K22) -1*'Data Sheet'!K19,0)</f>
        <v>171435.78</v>
      </c>
      <c r="M8" s="13">
        <f>IFERROR(SUM('Data Sheet'!H43:K43),0)</f>
        <v>203566.87</v>
      </c>
    </row>
    <row r="9" spans="1:13" x14ac:dyDescent="0.3">
      <c r="B9" s="10" t="s">
        <v>61</v>
      </c>
      <c r="C9" s="14">
        <f>C8/C5</f>
        <v>0.69080579401033415</v>
      </c>
      <c r="D9" s="12">
        <f t="shared" ref="D9:M9" si="1">D8/D5</f>
        <v>0.68730782309351302</v>
      </c>
      <c r="E9" s="12">
        <f t="shared" si="1"/>
        <v>0.66969446560163792</v>
      </c>
      <c r="F9" s="12">
        <f t="shared" si="1"/>
        <v>0.73353881672890886</v>
      </c>
      <c r="G9" s="12">
        <f t="shared" si="1"/>
        <v>0.65811254532603436</v>
      </c>
      <c r="H9" s="12">
        <f t="shared" si="1"/>
        <v>0.58864436208731152</v>
      </c>
      <c r="I9" s="12">
        <f t="shared" si="1"/>
        <v>0.73280209066108937</v>
      </c>
      <c r="J9" s="12">
        <f t="shared" si="1"/>
        <v>0.79920677496494097</v>
      </c>
      <c r="K9" s="12">
        <f t="shared" si="1"/>
        <v>0.78572809473086047</v>
      </c>
      <c r="L9" s="12">
        <f t="shared" si="1"/>
        <v>0.73850187089735608</v>
      </c>
      <c r="M9" s="12">
        <f t="shared" si="1"/>
        <v>0.84905811159515387</v>
      </c>
    </row>
    <row r="11" spans="1:13" x14ac:dyDescent="0.3">
      <c r="B11" s="23" t="s">
        <v>62</v>
      </c>
      <c r="C11" s="24">
        <f>IFERROR(C5-C8,0)</f>
        <v>34722.33</v>
      </c>
      <c r="D11" s="24">
        <f t="shared" ref="D11:M11" si="2">IFERROR(D5-D8,0)</f>
        <v>38539.020000000004</v>
      </c>
      <c r="E11" s="24">
        <f t="shared" si="2"/>
        <v>52078.94</v>
      </c>
      <c r="F11" s="24">
        <f t="shared" si="2"/>
        <v>37255.710000000006</v>
      </c>
      <c r="G11" s="24">
        <f t="shared" si="2"/>
        <v>53497.659999999989</v>
      </c>
      <c r="H11" s="24">
        <f t="shared" si="2"/>
        <v>100353.98000000001</v>
      </c>
      <c r="I11" s="24">
        <f t="shared" si="2"/>
        <v>65023.330000000016</v>
      </c>
      <c r="J11" s="24">
        <f t="shared" si="2"/>
        <v>46015.94</v>
      </c>
      <c r="K11" s="24">
        <f t="shared" si="2"/>
        <v>46827.51999999999</v>
      </c>
      <c r="L11" s="24">
        <f t="shared" si="2"/>
        <v>60704.160000000003</v>
      </c>
      <c r="M11" s="24">
        <f t="shared" si="2"/>
        <v>36189.24000000002</v>
      </c>
    </row>
    <row r="12" spans="1:13" x14ac:dyDescent="0.3">
      <c r="B12" s="10" t="s">
        <v>122</v>
      </c>
      <c r="C12" s="14">
        <f>IFERROR(C11/C5,0)</f>
        <v>0.30919420598966585</v>
      </c>
      <c r="D12" s="14">
        <f>IFERROR(D11/D5,0)</f>
        <v>0.31269217690648704</v>
      </c>
      <c r="E12" s="14">
        <f t="shared" ref="E12:M12" si="3">IFERROR(E11/E5,0)</f>
        <v>0.33030553439836208</v>
      </c>
      <c r="F12" s="14">
        <f t="shared" si="3"/>
        <v>0.26646118327109114</v>
      </c>
      <c r="G12" s="14">
        <f t="shared" si="3"/>
        <v>0.34188745467396564</v>
      </c>
      <c r="H12" s="14">
        <f t="shared" si="3"/>
        <v>0.41135563791268842</v>
      </c>
      <c r="I12" s="14">
        <f t="shared" si="3"/>
        <v>0.26719790933891058</v>
      </c>
      <c r="J12" s="14">
        <f t="shared" si="3"/>
        <v>0.20079322503505903</v>
      </c>
      <c r="K12" s="14">
        <f t="shared" si="3"/>
        <v>0.21427190526913958</v>
      </c>
      <c r="L12" s="14">
        <f t="shared" si="3"/>
        <v>0.26149812910264386</v>
      </c>
      <c r="M12" s="14">
        <f t="shared" si="3"/>
        <v>0.15094188840484615</v>
      </c>
    </row>
    <row r="14" spans="1:13" x14ac:dyDescent="0.3">
      <c r="B14" t="s">
        <v>63</v>
      </c>
      <c r="C14" s="13">
        <f>IFERROR(SUM('Data Sheet'!B23:B24),0)</f>
        <v>21578.7</v>
      </c>
      <c r="D14" s="13">
        <f>IFERROR(SUM('Data Sheet'!C23:C24),0)</f>
        <v>17105.830000000002</v>
      </c>
      <c r="E14" s="13">
        <f>IFERROR(SUM('Data Sheet'!D23:D24),0)</f>
        <v>22760.720000000001</v>
      </c>
      <c r="F14" s="13">
        <f>IFERROR(SUM('Data Sheet'!E23:E24),0)</f>
        <v>19792.650000000001</v>
      </c>
      <c r="G14" s="13">
        <f>IFERROR(SUM('Data Sheet'!F23:F24),0)</f>
        <v>22993.4</v>
      </c>
      <c r="H14" s="13">
        <f>IFERROR(SUM('Data Sheet'!G23:G24),0)</f>
        <v>36864.03</v>
      </c>
      <c r="I14" s="13">
        <f>IFERROR(SUM('Data Sheet'!H23:H24),0)</f>
        <v>32723.17</v>
      </c>
      <c r="J14" s="13">
        <f>IFERROR(SUM('Data Sheet'!I23:I24),0)</f>
        <v>23768.02</v>
      </c>
      <c r="K14" s="13">
        <f>IFERROR(SUM('Data Sheet'!J23:J24),0)</f>
        <v>21529.07</v>
      </c>
      <c r="L14" s="13">
        <f>IFERROR(SUM('Data Sheet'!K23:K24),0)</f>
        <v>26351.72</v>
      </c>
      <c r="M14" s="13">
        <f>IFERROR(SUM('Data Sheet'!L23:L24),0)</f>
        <v>0</v>
      </c>
    </row>
    <row r="15" spans="1:13" x14ac:dyDescent="0.3">
      <c r="B15" s="10" t="s">
        <v>64</v>
      </c>
      <c r="C15" s="14">
        <f>C14/C5</f>
        <v>0.19215326312460029</v>
      </c>
      <c r="D15" s="12">
        <f t="shared" ref="D15:M15" si="4">D14/D5</f>
        <v>0.13879074300520078</v>
      </c>
      <c r="E15" s="12">
        <f t="shared" si="4"/>
        <v>0.14435761908540165</v>
      </c>
      <c r="F15" s="12">
        <f t="shared" si="4"/>
        <v>0.14156146639187825</v>
      </c>
      <c r="G15" s="12">
        <f t="shared" si="4"/>
        <v>0.14694390372028165</v>
      </c>
      <c r="H15" s="14">
        <f t="shared" si="4"/>
        <v>0.15110737587769296</v>
      </c>
      <c r="I15" s="12">
        <f t="shared" si="4"/>
        <v>0.13446808416212699</v>
      </c>
      <c r="J15" s="12">
        <f t="shared" si="4"/>
        <v>0.10371313480715125</v>
      </c>
      <c r="K15" s="12">
        <f t="shared" si="4"/>
        <v>9.8512046923960012E-2</v>
      </c>
      <c r="L15" s="12">
        <f t="shared" si="4"/>
        <v>0.11351652800461653</v>
      </c>
      <c r="M15" s="11">
        <f t="shared" si="4"/>
        <v>0</v>
      </c>
    </row>
    <row r="17" spans="2:13" x14ac:dyDescent="0.3">
      <c r="B17" s="23" t="s">
        <v>65</v>
      </c>
      <c r="C17" s="24">
        <f>IFERROR(C11-C14,0)</f>
        <v>13143.630000000001</v>
      </c>
      <c r="D17" s="24">
        <f t="shared" ref="D17:M17" si="5">IFERROR(D11-D14,0)</f>
        <v>21433.190000000002</v>
      </c>
      <c r="E17" s="24">
        <f t="shared" si="5"/>
        <v>29318.22</v>
      </c>
      <c r="F17" s="24">
        <f t="shared" si="5"/>
        <v>17463.060000000005</v>
      </c>
      <c r="G17" s="24">
        <f t="shared" si="5"/>
        <v>30504.259999999987</v>
      </c>
      <c r="H17" s="24">
        <f t="shared" si="5"/>
        <v>63489.950000000012</v>
      </c>
      <c r="I17" s="24">
        <f t="shared" si="5"/>
        <v>32300.160000000018</v>
      </c>
      <c r="J17" s="24">
        <f t="shared" si="5"/>
        <v>22247.920000000002</v>
      </c>
      <c r="K17" s="24">
        <f t="shared" si="5"/>
        <v>25298.44999999999</v>
      </c>
      <c r="L17" s="24">
        <f t="shared" si="5"/>
        <v>34352.44</v>
      </c>
      <c r="M17" s="24">
        <f t="shared" si="5"/>
        <v>36189.24000000002</v>
      </c>
    </row>
    <row r="18" spans="2:13" x14ac:dyDescent="0.3">
      <c r="B18" s="10" t="s">
        <v>66</v>
      </c>
      <c r="C18" s="14">
        <f>C17/C5</f>
        <v>0.11704094286506557</v>
      </c>
      <c r="D18" s="12">
        <f>D17/D5</f>
        <v>0.17390143390128623</v>
      </c>
      <c r="E18" s="12">
        <f t="shared" ref="E18:M18" si="6">E17/E5</f>
        <v>0.18594791531296043</v>
      </c>
      <c r="F18" s="12">
        <f t="shared" si="6"/>
        <v>0.12489971687921292</v>
      </c>
      <c r="G18" s="12">
        <f t="shared" si="6"/>
        <v>0.19494355095368399</v>
      </c>
      <c r="H18" s="14">
        <f t="shared" si="6"/>
        <v>0.26024826203499546</v>
      </c>
      <c r="I18" s="12">
        <f t="shared" si="6"/>
        <v>0.13272982517678361</v>
      </c>
      <c r="J18" s="12">
        <f t="shared" si="6"/>
        <v>9.708009022790777E-2</v>
      </c>
      <c r="K18" s="12">
        <f t="shared" si="6"/>
        <v>0.11575985834517957</v>
      </c>
      <c r="L18" s="12">
        <f t="shared" si="6"/>
        <v>0.14798160109802735</v>
      </c>
      <c r="M18" s="14">
        <f t="shared" si="6"/>
        <v>0.15094188840484615</v>
      </c>
    </row>
    <row r="20" spans="2:13" x14ac:dyDescent="0.3">
      <c r="B20" t="s">
        <v>6</v>
      </c>
      <c r="C20" s="15">
        <f>IFERROR('Data Sheet'!B27,0)</f>
        <v>5072.2</v>
      </c>
      <c r="D20" s="15">
        <f>IFERROR('Data Sheet'!C27,0)</f>
        <v>5454.74</v>
      </c>
      <c r="E20" s="15">
        <f>IFERROR('Data Sheet'!D27,0)</f>
        <v>7660.1</v>
      </c>
      <c r="F20" s="15">
        <f>IFERROR('Data Sheet'!E27,0)</f>
        <v>7533.46</v>
      </c>
      <c r="G20" s="15">
        <f>IFERROR('Data Sheet'!F27,0)</f>
        <v>7606.71</v>
      </c>
      <c r="H20" s="15">
        <f>IFERROR('Data Sheet'!G27,0)</f>
        <v>5462.2</v>
      </c>
      <c r="I20" s="15">
        <f>IFERROR('Data Sheet'!H27,0)</f>
        <v>6298.7</v>
      </c>
      <c r="J20" s="15">
        <f>IFERROR('Data Sheet'!I27,0)</f>
        <v>7507.57</v>
      </c>
      <c r="K20" s="15">
        <f>IFERROR('Data Sheet'!J27,0)</f>
        <v>7340.95</v>
      </c>
      <c r="L20" s="15">
        <f>IFERROR('Data Sheet'!K27,0)</f>
        <v>7167.06</v>
      </c>
      <c r="M20" s="15">
        <f>IFERROR(SUM('Data Sheet'!H46:K46),0)</f>
        <v>7085.14</v>
      </c>
    </row>
    <row r="21" spans="2:13" x14ac:dyDescent="0.3">
      <c r="B21" s="10" t="s">
        <v>68</v>
      </c>
      <c r="C21" s="14">
        <f t="shared" ref="C21:M21" si="7">C20/C5</f>
        <v>4.5166751529081804E-2</v>
      </c>
      <c r="D21" s="12">
        <f t="shared" si="7"/>
        <v>4.4257859308796402E-2</v>
      </c>
      <c r="E21" s="12">
        <f t="shared" si="7"/>
        <v>4.8583427850968038E-2</v>
      </c>
      <c r="F21" s="12">
        <f t="shared" si="7"/>
        <v>5.3880993429609426E-2</v>
      </c>
      <c r="G21" s="12">
        <f t="shared" si="7"/>
        <v>4.8612195754786314E-2</v>
      </c>
      <c r="H21" s="14">
        <f t="shared" si="7"/>
        <v>2.2389812196852446E-2</v>
      </c>
      <c r="I21" s="12">
        <f t="shared" si="7"/>
        <v>2.5883009552925013E-2</v>
      </c>
      <c r="J21" s="12">
        <f t="shared" si="7"/>
        <v>3.2759717447398834E-2</v>
      </c>
      <c r="K21" s="12">
        <f t="shared" si="7"/>
        <v>3.3590490014963219E-2</v>
      </c>
      <c r="L21" s="12">
        <f t="shared" si="7"/>
        <v>3.0873877196659912E-2</v>
      </c>
      <c r="M21" s="14">
        <f t="shared" si="7"/>
        <v>2.9551447093465105E-2</v>
      </c>
    </row>
    <row r="23" spans="2:13" x14ac:dyDescent="0.3">
      <c r="B23" t="s">
        <v>67</v>
      </c>
      <c r="C23" s="15">
        <f>IFERROR('Data Sheet'!B26,0)</f>
        <v>5672.88</v>
      </c>
      <c r="D23" s="15">
        <f>IFERROR('Data Sheet'!C26,0)</f>
        <v>5741.7</v>
      </c>
      <c r="E23" s="15">
        <f>IFERROR('Data Sheet'!D26,0)</f>
        <v>7341.83</v>
      </c>
      <c r="F23" s="15">
        <f>IFERROR('Data Sheet'!E26,0)</f>
        <v>8440.73</v>
      </c>
      <c r="G23" s="15">
        <f>IFERROR('Data Sheet'!F26,0)</f>
        <v>9233.64</v>
      </c>
      <c r="H23" s="15">
        <f>IFERROR('Data Sheet'!G26,0)</f>
        <v>9100.8700000000008</v>
      </c>
      <c r="I23" s="15">
        <f>IFERROR('Data Sheet'!H26,0)</f>
        <v>9335.2000000000007</v>
      </c>
      <c r="J23" s="15">
        <f>IFERROR('Data Sheet'!I26,0)</f>
        <v>9882.16</v>
      </c>
      <c r="K23" s="15">
        <f>IFERROR('Data Sheet'!J26,0)</f>
        <v>10421.33</v>
      </c>
      <c r="L23" s="15">
        <f>IFERROR('Data Sheet'!K26,0)</f>
        <v>11954.51</v>
      </c>
      <c r="M23" s="15">
        <f>IFERROR(SUM('Data Sheet'!H45:K45),0)</f>
        <v>12849.859999999999</v>
      </c>
    </row>
    <row r="24" spans="2:13" x14ac:dyDescent="0.3">
      <c r="B24" s="10" t="s">
        <v>69</v>
      </c>
      <c r="C24" s="14">
        <f>C23/C5</f>
        <v>5.0515666064882614E-2</v>
      </c>
      <c r="D24" s="12">
        <f t="shared" ref="D24:M24" si="8">D23/D5</f>
        <v>4.6586152739326953E-2</v>
      </c>
      <c r="E24" s="12">
        <f t="shared" si="8"/>
        <v>4.6564831803641286E-2</v>
      </c>
      <c r="F24" s="12">
        <f t="shared" si="8"/>
        <v>6.0369991699844049E-2</v>
      </c>
      <c r="G24" s="12">
        <f t="shared" si="8"/>
        <v>5.9009416056248376E-2</v>
      </c>
      <c r="H24" s="14">
        <f t="shared" si="8"/>
        <v>3.7304889994501947E-2</v>
      </c>
      <c r="I24" s="12">
        <f t="shared" si="8"/>
        <v>3.8360784094887142E-2</v>
      </c>
      <c r="J24" s="12">
        <f t="shared" si="8"/>
        <v>4.3121378737725639E-2</v>
      </c>
      <c r="K24" s="12">
        <f t="shared" si="8"/>
        <v>4.768559672898421E-2</v>
      </c>
      <c r="L24" s="12">
        <f t="shared" si="8"/>
        <v>5.1496997888428854E-2</v>
      </c>
      <c r="M24" s="14">
        <f t="shared" si="8"/>
        <v>5.3595547575409019E-2</v>
      </c>
    </row>
    <row r="26" spans="2:13" x14ac:dyDescent="0.3">
      <c r="B26" s="23" t="s">
        <v>70</v>
      </c>
      <c r="C26" s="24">
        <f>IFERROR(C17-SUM(C20,C23),0)</f>
        <v>2398.5500000000011</v>
      </c>
      <c r="D26" s="24">
        <f t="shared" ref="D26:M26" si="9">IFERROR(D17-SUM(D20,D23),0)</f>
        <v>10236.750000000004</v>
      </c>
      <c r="E26" s="24">
        <f t="shared" si="9"/>
        <v>14316.29</v>
      </c>
      <c r="F26" s="24">
        <f>IFERROR(F17-SUM(F20,F23),0)</f>
        <v>1488.8700000000063</v>
      </c>
      <c r="G26" s="24">
        <f t="shared" si="9"/>
        <v>13663.909999999989</v>
      </c>
      <c r="H26" s="24">
        <f t="shared" si="9"/>
        <v>48926.880000000012</v>
      </c>
      <c r="I26" s="24">
        <f t="shared" si="9"/>
        <v>16666.260000000017</v>
      </c>
      <c r="J26" s="24">
        <f t="shared" si="9"/>
        <v>4858.1900000000023</v>
      </c>
      <c r="K26" s="24">
        <f t="shared" si="9"/>
        <v>7536.169999999991</v>
      </c>
      <c r="L26" s="24">
        <f t="shared" si="9"/>
        <v>15230.870000000003</v>
      </c>
      <c r="M26" s="24">
        <f t="shared" si="9"/>
        <v>16254.24000000002</v>
      </c>
    </row>
    <row r="27" spans="2:13" x14ac:dyDescent="0.3">
      <c r="B27" s="10" t="s">
        <v>71</v>
      </c>
      <c r="C27" s="14">
        <f>C26/C5</f>
        <v>2.1358525271101145E-2</v>
      </c>
      <c r="D27" s="12">
        <f t="shared" ref="D27:M27" si="10">D26/D5</f>
        <v>8.3057421853162894E-2</v>
      </c>
      <c r="E27" s="12">
        <f t="shared" si="10"/>
        <v>9.0799655658351089E-2</v>
      </c>
      <c r="F27" s="12">
        <f>F26/F5</f>
        <v>1.0648731749759463E-2</v>
      </c>
      <c r="G27" s="12">
        <f t="shared" si="10"/>
        <v>8.7321939142649282E-2</v>
      </c>
      <c r="H27" s="14">
        <f t="shared" si="10"/>
        <v>0.20055355984364109</v>
      </c>
      <c r="I27" s="12">
        <f t="shared" si="10"/>
        <v>6.8486031528971453E-2</v>
      </c>
      <c r="J27" s="12">
        <f t="shared" si="10"/>
        <v>2.11989940427833E-2</v>
      </c>
      <c r="K27" s="12">
        <f t="shared" si="10"/>
        <v>3.4483771601232137E-2</v>
      </c>
      <c r="L27" s="12">
        <f t="shared" si="10"/>
        <v>6.5610726012938589E-2</v>
      </c>
      <c r="M27" s="14">
        <f t="shared" si="10"/>
        <v>6.7794893735972014E-2</v>
      </c>
    </row>
    <row r="29" spans="2:13" x14ac:dyDescent="0.3">
      <c r="B29" t="s">
        <v>8</v>
      </c>
      <c r="C29" s="13">
        <f>IFERROR('Data Sheet'!B29,0)</f>
        <v>2778.01</v>
      </c>
      <c r="D29" s="13">
        <f>IFERROR('Data Sheet'!C29,0)</f>
        <v>3392.33</v>
      </c>
      <c r="E29" s="13">
        <f>IFERROR('Data Sheet'!D29,0)</f>
        <v>6718.43</v>
      </c>
      <c r="F29" s="13">
        <f>IFERROR('Data Sheet'!E29,0)</f>
        <v>-2568.41</v>
      </c>
      <c r="G29" s="13">
        <f>IFERROR('Data Sheet'!F29,0)</f>
        <v>5653.9</v>
      </c>
      <c r="H29" s="13">
        <f>IFERROR('Data Sheet'!G29,0)</f>
        <v>8477.5499999999993</v>
      </c>
      <c r="I29" s="13">
        <f>IFERROR('Data Sheet'!H29,0)</f>
        <v>10159.77</v>
      </c>
      <c r="J29" s="13">
        <f>IFERROR('Data Sheet'!I29,0)</f>
        <v>3762.57</v>
      </c>
      <c r="K29" s="13">
        <f>IFERROR('Data Sheet'!J29,0)</f>
        <v>5239.09</v>
      </c>
      <c r="L29" s="13">
        <f>IFERROR('Data Sheet'!K29,0)</f>
        <v>5082.87</v>
      </c>
      <c r="M29" s="13">
        <f>IFERROR(SUM('Data Sheet'!H48:K48),0)</f>
        <v>5475.4400000000005</v>
      </c>
    </row>
    <row r="30" spans="2:13" x14ac:dyDescent="0.3">
      <c r="B30" s="10" t="s">
        <v>72</v>
      </c>
      <c r="C30" s="14">
        <f>C29/C26</f>
        <v>1.1582039148652306</v>
      </c>
      <c r="D30" s="12">
        <f t="shared" ref="D30:M30" si="11">D29/D26</f>
        <v>0.33138740322856364</v>
      </c>
      <c r="E30" s="12">
        <f t="shared" si="11"/>
        <v>0.46928568784231112</v>
      </c>
      <c r="F30" s="12">
        <f t="shared" si="11"/>
        <v>-1.7250733777965765</v>
      </c>
      <c r="G30" s="12">
        <f t="shared" si="11"/>
        <v>0.41378346315220199</v>
      </c>
      <c r="H30" s="14">
        <f t="shared" si="11"/>
        <v>0.17326978544309379</v>
      </c>
      <c r="I30" s="12">
        <f t="shared" si="11"/>
        <v>0.60960107426621146</v>
      </c>
      <c r="J30" s="17">
        <f t="shared" si="11"/>
        <v>0.77447979597339711</v>
      </c>
      <c r="K30" s="14">
        <f t="shared" si="11"/>
        <v>0.69519265090888427</v>
      </c>
      <c r="L30" s="12">
        <f t="shared" si="11"/>
        <v>0.33372157992288026</v>
      </c>
      <c r="M30" s="12">
        <f t="shared" si="11"/>
        <v>0.33686225870911185</v>
      </c>
    </row>
    <row r="32" spans="2:13" x14ac:dyDescent="0.3">
      <c r="B32" s="23" t="s">
        <v>73</v>
      </c>
      <c r="C32" s="24">
        <f>IFERROR(C26-C29,0)</f>
        <v>-379.45999999999913</v>
      </c>
      <c r="D32" s="24">
        <f t="shared" ref="D32:M32" si="12">IFERROR(D26-D29,0)</f>
        <v>6844.4200000000037</v>
      </c>
      <c r="E32" s="24">
        <f t="shared" si="12"/>
        <v>7597.8600000000006</v>
      </c>
      <c r="F32" s="24">
        <f>IFERROR(F26-F29,0)</f>
        <v>4057.2800000000061</v>
      </c>
      <c r="G32" s="24">
        <f t="shared" si="12"/>
        <v>8010.0099999999893</v>
      </c>
      <c r="H32" s="24">
        <f t="shared" si="12"/>
        <v>40449.330000000016</v>
      </c>
      <c r="I32" s="24">
        <f t="shared" si="12"/>
        <v>6506.4900000000162</v>
      </c>
      <c r="J32" s="24">
        <f t="shared" si="12"/>
        <v>1095.6200000000022</v>
      </c>
      <c r="K32" s="24">
        <f t="shared" si="12"/>
        <v>2297.0799999999908</v>
      </c>
      <c r="L32" s="24">
        <f t="shared" si="12"/>
        <v>10148.000000000004</v>
      </c>
      <c r="M32" s="24">
        <f t="shared" si="12"/>
        <v>10778.800000000019</v>
      </c>
    </row>
    <row r="33" spans="1:14" x14ac:dyDescent="0.3">
      <c r="B33" s="10" t="s">
        <v>74</v>
      </c>
      <c r="C33" s="14">
        <f>C32/C5</f>
        <v>-3.3790023136361625E-3</v>
      </c>
      <c r="D33" s="12">
        <f t="shared" ref="D33:M33" si="13">D32/D5</f>
        <v>5.5533238506383892E-2</v>
      </c>
      <c r="E33" s="12">
        <f t="shared" si="13"/>
        <v>4.8188676796876807E-2</v>
      </c>
      <c r="F33" s="12">
        <f>F32/F5</f>
        <v>2.9018575398566667E-2</v>
      </c>
      <c r="G33" s="12">
        <f t="shared" si="13"/>
        <v>5.1189564755038039E-2</v>
      </c>
      <c r="H33" s="14">
        <f t="shared" si="13"/>
        <v>0.16580368755968475</v>
      </c>
      <c r="I33" s="12">
        <f t="shared" si="13"/>
        <v>2.6736873136680824E-2</v>
      </c>
      <c r="J33" s="12">
        <f t="shared" si="13"/>
        <v>4.7808014616872278E-3</v>
      </c>
      <c r="K33" s="14">
        <f t="shared" si="13"/>
        <v>1.0510907008435067E-2</v>
      </c>
      <c r="L33" s="12">
        <f t="shared" si="13"/>
        <v>4.3715010868013507E-2</v>
      </c>
      <c r="M33" s="12">
        <f t="shared" si="13"/>
        <v>4.495735270312827E-2</v>
      </c>
    </row>
    <row r="35" spans="1:14" x14ac:dyDescent="0.3">
      <c r="B35" t="s">
        <v>38</v>
      </c>
      <c r="C35">
        <f>IFERROR('Data Sheet'!B93,0)</f>
        <v>1126.6199999999999</v>
      </c>
      <c r="D35">
        <f>IFERROR('Data Sheet'!C93,0)</f>
        <v>1126.48</v>
      </c>
      <c r="E35">
        <f>IFERROR('Data Sheet'!D93,0)</f>
        <v>1126.49</v>
      </c>
      <c r="F35">
        <f>IFERROR('Data Sheet'!E93,0)</f>
        <v>1126.49</v>
      </c>
      <c r="G35">
        <f>IFERROR('Data Sheet'!F93,0)</f>
        <v>1196.5899999999999</v>
      </c>
      <c r="H35">
        <f>IFERROR('Data Sheet'!G93,0)</f>
        <v>1221.3</v>
      </c>
      <c r="I35">
        <f>IFERROR('Data Sheet'!H93,0)</f>
        <v>1222.1500000000001</v>
      </c>
      <c r="J35">
        <f>IFERROR('Data Sheet'!I93,0)</f>
        <v>1248.3499999999999</v>
      </c>
      <c r="K35">
        <f>IFERROR('Data Sheet'!J93,0)</f>
        <v>1248.3499999999999</v>
      </c>
      <c r="L35">
        <f>IFERROR('Data Sheet'!K93,0)</f>
        <v>1248.3499999999999</v>
      </c>
      <c r="M35">
        <f>IFERROR('Data Sheet'!L93,0)</f>
        <v>0</v>
      </c>
    </row>
    <row r="37" spans="1:14" x14ac:dyDescent="0.3">
      <c r="B37" t="s">
        <v>75</v>
      </c>
      <c r="C37" s="16">
        <f>IFERROR(C32/C35,0)</f>
        <v>-0.33681276739273153</v>
      </c>
      <c r="D37" s="16">
        <f t="shared" ref="D37:M37" si="14">IFERROR(D32/D35,0)</f>
        <v>6.0759356579788397</v>
      </c>
      <c r="E37" s="16">
        <f t="shared" si="14"/>
        <v>6.7447203259682738</v>
      </c>
      <c r="F37" s="16">
        <f t="shared" si="14"/>
        <v>3.6017008584186332</v>
      </c>
      <c r="G37" s="16">
        <f t="shared" si="14"/>
        <v>6.6940305367753279</v>
      </c>
      <c r="H37" s="16">
        <f t="shared" si="14"/>
        <v>33.119896831245406</v>
      </c>
      <c r="I37" s="16">
        <f t="shared" si="14"/>
        <v>5.3238064067422295</v>
      </c>
      <c r="J37" s="16">
        <f t="shared" si="14"/>
        <v>0.8776545039452095</v>
      </c>
      <c r="K37" s="16">
        <f>IFERROR(K32/K35,0)</f>
        <v>1.8400929226579013</v>
      </c>
      <c r="L37" s="16">
        <f t="shared" si="14"/>
        <v>8.1291304521969039</v>
      </c>
      <c r="M37" s="16">
        <f t="shared" si="14"/>
        <v>0</v>
      </c>
    </row>
    <row r="38" spans="1:14" x14ac:dyDescent="0.3">
      <c r="B38" s="10" t="s">
        <v>77</v>
      </c>
      <c r="C38" s="14"/>
      <c r="D38" s="12">
        <f>IFERROR(D37/-C37-1,0)</f>
        <v>17.039505167849406</v>
      </c>
      <c r="E38" s="12">
        <f t="shared" ref="E38:L38" si="15">IFERROR(E37/D37-1,0)</f>
        <v>0.11007105829226393</v>
      </c>
      <c r="F38" s="12">
        <f t="shared" si="15"/>
        <v>-0.46599700441966474</v>
      </c>
      <c r="G38" s="12">
        <f>IFERROR(G37/F37-1,0)</f>
        <v>0.85857482337231539</v>
      </c>
      <c r="H38" s="14">
        <f t="shared" si="15"/>
        <v>3.9476763885812867</v>
      </c>
      <c r="I38" s="12">
        <f>IFERROR(I37/H37-1,0)</f>
        <v>-0.83925655222090745</v>
      </c>
      <c r="J38" s="17">
        <f t="shared" si="15"/>
        <v>-0.83514530076944171</v>
      </c>
      <c r="K38" s="14">
        <f t="shared" si="15"/>
        <v>1.0966028367499554</v>
      </c>
      <c r="L38" s="12">
        <f t="shared" si="15"/>
        <v>3.4177825761401621</v>
      </c>
      <c r="M38" s="9"/>
    </row>
    <row r="40" spans="1:14" x14ac:dyDescent="0.3">
      <c r="B40" t="s">
        <v>76</v>
      </c>
      <c r="C40" s="16">
        <f>IFERROR('Data Sheet'!B31/'HistoricalFS '!C35,0)</f>
        <v>0.86119543413040789</v>
      </c>
      <c r="D40" s="16">
        <f>IFERROR('Data Sheet'!C31/'HistoricalFS '!D35,0)</f>
        <v>1.0163962076557063</v>
      </c>
      <c r="E40" s="16">
        <f>IFERROR('Data Sheet'!D31/'HistoricalFS '!E35,0)</f>
        <v>1.3212900247671973</v>
      </c>
      <c r="F40" s="16">
        <f>IFERROR('Data Sheet'!E31/'HistoricalFS '!F35,0)</f>
        <v>1.0163871849727917</v>
      </c>
      <c r="G40" s="16">
        <f>IFERROR('Data Sheet'!F31/'HistoricalFS '!G35,0)</f>
        <v>2.5021268772094034</v>
      </c>
      <c r="H40" s="16">
        <f>IFERROR('Data Sheet'!G31/'HistoricalFS '!H35,0)</f>
        <v>5.0996233521657253</v>
      </c>
      <c r="I40" s="16">
        <f>IFERROR('Data Sheet'!H31/'HistoricalFS '!I35,0)</f>
        <v>3.5973162050484797</v>
      </c>
      <c r="J40" s="16">
        <f>IFERROR('Data Sheet'!I31/'HistoricalFS '!J35,0)</f>
        <v>3.5973725317418994</v>
      </c>
      <c r="K40" s="16">
        <f>IFERROR('Data Sheet'!J31/'HistoricalFS '!K35,0)</f>
        <v>3.5973725317418994</v>
      </c>
      <c r="L40" s="16">
        <f>IFERROR('Data Sheet'!K31/'HistoricalFS '!L35,0)</f>
        <v>3.9970841510794255</v>
      </c>
      <c r="M40" s="16">
        <f>IFERROR('Data Sheet'!L31/'HistoricalFS '!M35,0)</f>
        <v>0</v>
      </c>
      <c r="N40" s="16">
        <f>IFERROR('Data Sheet'!M31/'HistoricalFS '!N35,0)</f>
        <v>0</v>
      </c>
    </row>
    <row r="41" spans="1:14" x14ac:dyDescent="0.3">
      <c r="B41" s="10" t="s">
        <v>78</v>
      </c>
      <c r="C41" s="14">
        <f>IFERROR(C40/-C37,0)</f>
        <v>2.5568966425973811</v>
      </c>
      <c r="D41" s="12">
        <f>IFERROR(D40/D37,0)</f>
        <v>0.16728225328077462</v>
      </c>
      <c r="E41" s="12">
        <f t="shared" ref="E41:M41" si="16">IFERROR(E40/E37,0)</f>
        <v>0.19589989812921005</v>
      </c>
      <c r="F41" s="12">
        <f t="shared" si="16"/>
        <v>0.28219644688066842</v>
      </c>
      <c r="G41" s="12">
        <f t="shared" si="16"/>
        <v>0.3737848017667898</v>
      </c>
      <c r="H41" s="14">
        <f t="shared" si="16"/>
        <v>0.15397461465987194</v>
      </c>
      <c r="I41" s="12">
        <f t="shared" si="16"/>
        <v>0.6757037972854778</v>
      </c>
      <c r="J41" s="17">
        <f t="shared" si="16"/>
        <v>4.0988481407787285</v>
      </c>
      <c r="K41" s="14">
        <f t="shared" si="16"/>
        <v>1.9549950371776419</v>
      </c>
      <c r="L41" s="12">
        <f t="shared" si="16"/>
        <v>0.49169885691761905</v>
      </c>
      <c r="M41" s="12">
        <f t="shared" si="16"/>
        <v>0</v>
      </c>
    </row>
    <row r="43" spans="1:14" x14ac:dyDescent="0.3">
      <c r="B43" t="s">
        <v>79</v>
      </c>
      <c r="C43" s="9">
        <f>IFERROR(IF(C37&gt;C40,1-C41,0),0)</f>
        <v>0</v>
      </c>
      <c r="D43" s="9">
        <f t="shared" ref="D43:M43" si="17">IFERROR(IF(D37&gt;D40,1-D41,0),0)</f>
        <v>0.83271774671922538</v>
      </c>
      <c r="E43" s="9">
        <f t="shared" si="17"/>
        <v>0.80410010187078995</v>
      </c>
      <c r="F43" s="9">
        <f t="shared" si="17"/>
        <v>0.71780355311933164</v>
      </c>
      <c r="G43" s="9">
        <f t="shared" si="17"/>
        <v>0.62621519823321026</v>
      </c>
      <c r="H43" s="9">
        <f t="shared" si="17"/>
        <v>0.84602538534012806</v>
      </c>
      <c r="I43" s="9">
        <f t="shared" si="17"/>
        <v>0.3242962027145222</v>
      </c>
      <c r="J43" s="9">
        <f t="shared" si="17"/>
        <v>0</v>
      </c>
      <c r="K43" s="9">
        <f>IFERROR(IF(K37&gt;K40,1-K41,0),0)</f>
        <v>0</v>
      </c>
      <c r="L43" s="9">
        <f t="shared" si="17"/>
        <v>0.50830114308238095</v>
      </c>
      <c r="M43" s="9">
        <f t="shared" si="17"/>
        <v>0</v>
      </c>
    </row>
    <row r="45" spans="1:14" ht="19.2" customHeight="1" x14ac:dyDescent="0.3"/>
    <row r="47" spans="1:14" x14ac:dyDescent="0.3">
      <c r="A47" t="s">
        <v>57</v>
      </c>
      <c r="B47" s="18" t="s">
        <v>80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4" x14ac:dyDescent="0.3">
      <c r="B48" t="s">
        <v>10</v>
      </c>
      <c r="C48" s="13">
        <f>IFERROR('Data Sheet'!B57,0)</f>
        <v>970.24</v>
      </c>
      <c r="D48" s="13">
        <f>IFERROR('Data Sheet'!C57,0)</f>
        <v>1144.95</v>
      </c>
      <c r="E48" s="13">
        <f>IFERROR('Data Sheet'!D57,0)</f>
        <v>1144.94</v>
      </c>
      <c r="F48" s="13">
        <f>IFERROR('Data Sheet'!E57,0)</f>
        <v>1144.95</v>
      </c>
      <c r="G48" s="13">
        <f>IFERROR('Data Sheet'!F57,0)</f>
        <v>1197.6099999999999</v>
      </c>
      <c r="H48" s="13">
        <f>IFERROR('Data Sheet'!G57,0)</f>
        <v>1221.21</v>
      </c>
      <c r="I48" s="13">
        <f>IFERROR('Data Sheet'!H57,0)</f>
        <v>1221.24</v>
      </c>
      <c r="J48" s="13">
        <f>IFERROR('Data Sheet'!I57,0)</f>
        <v>1247.44</v>
      </c>
      <c r="K48" s="13">
        <f>IFERROR('Data Sheet'!J57,0)</f>
        <v>1247.44</v>
      </c>
      <c r="L48" s="13">
        <f>IFERROR('Data Sheet'!K57,0)</f>
        <v>1247.44</v>
      </c>
    </row>
    <row r="49" spans="2:12" x14ac:dyDescent="0.3">
      <c r="B49" t="s">
        <v>11</v>
      </c>
      <c r="C49" s="13">
        <f>IFERROR('Data Sheet'!B58,0)</f>
        <v>36849.08</v>
      </c>
      <c r="D49" s="13">
        <f>IFERROR('Data Sheet'!C58,0)</f>
        <v>59725.67</v>
      </c>
      <c r="E49" s="13">
        <f>IFERROR('Data Sheet'!D58,0)</f>
        <v>67780.14</v>
      </c>
      <c r="F49" s="13">
        <f>IFERROR('Data Sheet'!E58,0)</f>
        <v>72431.350000000006</v>
      </c>
      <c r="G49" s="13">
        <f>IFERROR('Data Sheet'!F58,0)</f>
        <v>73041.16</v>
      </c>
      <c r="H49" s="13">
        <f>IFERROR('Data Sheet'!G58,0)</f>
        <v>113221.83</v>
      </c>
      <c r="I49" s="13">
        <f>IFERROR('Data Sheet'!H58,0)</f>
        <v>101860.86</v>
      </c>
      <c r="J49" s="13">
        <f>IFERROR('Data Sheet'!I58,0)</f>
        <v>90788.32</v>
      </c>
      <c r="K49" s="13">
        <f>IFERROR('Data Sheet'!J58,0)</f>
        <v>89922.19</v>
      </c>
      <c r="L49" s="13">
        <f>IFERROR('Data Sheet'!K58,0)</f>
        <v>100920.21</v>
      </c>
    </row>
    <row r="50" spans="2:12" x14ac:dyDescent="0.3">
      <c r="B50" t="s">
        <v>35</v>
      </c>
      <c r="C50" s="13">
        <f>IFERROR('Data Sheet'!B59,0)</f>
        <v>83014.490000000005</v>
      </c>
      <c r="D50" s="13">
        <f>IFERROR('Data Sheet'!C59,0)</f>
        <v>92147.05</v>
      </c>
      <c r="E50" s="13">
        <f>IFERROR('Data Sheet'!D59,0)</f>
        <v>100816.22</v>
      </c>
      <c r="F50" s="13">
        <f>IFERROR('Data Sheet'!E59,0)</f>
        <v>116328.2</v>
      </c>
      <c r="G50" s="13">
        <f>IFERROR('Data Sheet'!F59,0)</f>
        <v>88501.41</v>
      </c>
      <c r="H50" s="13">
        <f>IFERROR('Data Sheet'!G59,0)</f>
        <v>75561.350000000006</v>
      </c>
      <c r="I50" s="13">
        <f>IFERROR('Data Sheet'!H59,0)</f>
        <v>84893.05</v>
      </c>
      <c r="J50" s="13">
        <f>IFERROR('Data Sheet'!I59,0)</f>
        <v>87082.12</v>
      </c>
      <c r="K50" s="13">
        <f>IFERROR('Data Sheet'!J59,0)</f>
        <v>94801.05</v>
      </c>
      <c r="L50" s="13">
        <f>IFERROR('Data Sheet'!K59,0)</f>
        <v>92381.68</v>
      </c>
    </row>
    <row r="51" spans="2:12" x14ac:dyDescent="0.3">
      <c r="B51" t="s">
        <v>36</v>
      </c>
      <c r="C51" s="13">
        <f>IFERROR('Data Sheet'!B60,0)</f>
        <v>51613.56</v>
      </c>
      <c r="D51" s="13">
        <f>IFERROR('Data Sheet'!C60,0)</f>
        <v>55704.47</v>
      </c>
      <c r="E51" s="13">
        <f>IFERROR('Data Sheet'!D60,0)</f>
        <v>63032.14</v>
      </c>
      <c r="F51" s="13">
        <f>IFERROR('Data Sheet'!E60,0)</f>
        <v>59244.62</v>
      </c>
      <c r="G51" s="13">
        <f>IFERROR('Data Sheet'!F60,0)</f>
        <v>81169.009999999995</v>
      </c>
      <c r="H51" s="13">
        <f>IFERROR('Data Sheet'!G60,0)</f>
        <v>92417.279999999999</v>
      </c>
      <c r="I51" s="13">
        <f>IFERROR('Data Sheet'!H60,0)</f>
        <v>97420.63</v>
      </c>
      <c r="J51" s="13">
        <f>IFERROR('Data Sheet'!I60,0)</f>
        <v>90194.54</v>
      </c>
      <c r="K51" s="13">
        <f>IFERROR('Data Sheet'!J60,0)</f>
        <v>89487.9</v>
      </c>
      <c r="L51" s="13">
        <f>IFERROR('Data Sheet'!K60,0)</f>
        <v>101965.29</v>
      </c>
    </row>
    <row r="52" spans="2:12" x14ac:dyDescent="0.3">
      <c r="B52" s="23" t="s">
        <v>82</v>
      </c>
      <c r="C52" s="24">
        <f>IFERROR('Data Sheet'!B61,0)</f>
        <v>172447.37</v>
      </c>
      <c r="D52" s="24">
        <f>IFERROR('Data Sheet'!C61,0)</f>
        <v>208722.14</v>
      </c>
      <c r="E52" s="24">
        <f>IFERROR('Data Sheet'!D61,0)</f>
        <v>232773.44</v>
      </c>
      <c r="F52" s="24">
        <f>IFERROR('Data Sheet'!E61,0)</f>
        <v>249149.12</v>
      </c>
      <c r="G52" s="24">
        <f>IFERROR('Data Sheet'!F61,0)</f>
        <v>243909.19</v>
      </c>
      <c r="H52" s="24">
        <f>IFERROR('Data Sheet'!G61,0)</f>
        <v>282421.67</v>
      </c>
      <c r="I52" s="24">
        <f>IFERROR('Data Sheet'!H61,0)</f>
        <v>285395.78000000003</v>
      </c>
      <c r="J52" s="24">
        <f>IFERROR('Data Sheet'!I61,0)</f>
        <v>269312.42</v>
      </c>
      <c r="K52" s="24">
        <f>IFERROR('Data Sheet'!J61,0)</f>
        <v>275458.58</v>
      </c>
      <c r="L52" s="24">
        <f>IFERROR('Data Sheet'!K61,0)</f>
        <v>296514.62</v>
      </c>
    </row>
    <row r="54" spans="2:12" x14ac:dyDescent="0.3">
      <c r="B54" t="s">
        <v>13</v>
      </c>
      <c r="C54" s="13">
        <f>IFERROR('Data Sheet'!B62,0)</f>
        <v>92006.55</v>
      </c>
      <c r="D54" s="13">
        <f>IFERROR('Data Sheet'!C62,0)</f>
        <v>96104.89</v>
      </c>
      <c r="E54" s="13">
        <f>IFERROR('Data Sheet'!D62,0)</f>
        <v>124441.91</v>
      </c>
      <c r="F54" s="13">
        <f>IFERROR('Data Sheet'!E62,0)</f>
        <v>134550.66</v>
      </c>
      <c r="G54" s="13">
        <f>IFERROR('Data Sheet'!F62,0)</f>
        <v>135775.18</v>
      </c>
      <c r="H54" s="13">
        <f>IFERROR('Data Sheet'!G62,0)</f>
        <v>133287.82999999999</v>
      </c>
      <c r="I54" s="13">
        <f>IFERROR('Data Sheet'!H62,0)</f>
        <v>146621.46</v>
      </c>
      <c r="J54" s="13">
        <f>IFERROR('Data Sheet'!I62,0)</f>
        <v>148814.38</v>
      </c>
      <c r="K54" s="13">
        <f>IFERROR('Data Sheet'!J62,0)</f>
        <v>150914.06</v>
      </c>
      <c r="L54" s="13">
        <f>IFERROR('Data Sheet'!K62,0)</f>
        <v>179908.13</v>
      </c>
    </row>
    <row r="55" spans="2:12" x14ac:dyDescent="0.3">
      <c r="B55" t="s">
        <v>14</v>
      </c>
      <c r="C55" s="13">
        <f>IFERROR('Data Sheet'!B63,0)</f>
        <v>15784.13</v>
      </c>
      <c r="D55" s="13">
        <f>IFERROR('Data Sheet'!C63,0)</f>
        <v>16614.41</v>
      </c>
      <c r="E55" s="13">
        <f>IFERROR('Data Sheet'!D63,0)</f>
        <v>18641.21</v>
      </c>
      <c r="F55" s="13">
        <f>IFERROR('Data Sheet'!E63,0)</f>
        <v>19496.830000000002</v>
      </c>
      <c r="G55" s="13">
        <f>IFERROR('Data Sheet'!F63,0)</f>
        <v>19007.400000000001</v>
      </c>
      <c r="H55" s="13">
        <f>IFERROR('Data Sheet'!G63,0)</f>
        <v>22045.55</v>
      </c>
      <c r="I55" s="13">
        <f>IFERROR('Data Sheet'!H63,0)</f>
        <v>31213.02</v>
      </c>
      <c r="J55" s="13">
        <f>IFERROR('Data Sheet'!I63,0)</f>
        <v>34355.53</v>
      </c>
      <c r="K55" s="13">
        <f>IFERROR('Data Sheet'!J63,0)</f>
        <v>41622.35</v>
      </c>
      <c r="L55" s="13">
        <f>IFERROR('Data Sheet'!K63,0)</f>
        <v>28496.71</v>
      </c>
    </row>
    <row r="56" spans="2:12" x14ac:dyDescent="0.3">
      <c r="B56" t="s">
        <v>15</v>
      </c>
      <c r="C56" s="13">
        <f>IFERROR('Data Sheet'!B64,0)</f>
        <v>12457.12</v>
      </c>
      <c r="D56" s="13">
        <f>IFERROR('Data Sheet'!C64,0)</f>
        <v>17899.47</v>
      </c>
      <c r="E56" s="13">
        <f>IFERROR('Data Sheet'!D64,0)</f>
        <v>5738.17</v>
      </c>
      <c r="F56" s="13">
        <f>IFERROR('Data Sheet'!E64,0)</f>
        <v>6285.18</v>
      </c>
      <c r="G56" s="13">
        <f>IFERROR('Data Sheet'!F64,0)</f>
        <v>10681.93</v>
      </c>
      <c r="H56" s="13">
        <f>IFERROR('Data Sheet'!G64,0)</f>
        <v>13139.85</v>
      </c>
      <c r="I56" s="13">
        <f>IFERROR('Data Sheet'!H64,0)</f>
        <v>8410.31</v>
      </c>
      <c r="J56" s="13">
        <f>IFERROR('Data Sheet'!I64,0)</f>
        <v>6257.57</v>
      </c>
      <c r="K56" s="13">
        <f>IFERROR('Data Sheet'!J64,0)</f>
        <v>6194.11</v>
      </c>
      <c r="L56" s="13">
        <f>IFERROR('Data Sheet'!K64,0)</f>
        <v>7088.85</v>
      </c>
    </row>
    <row r="57" spans="2:12" x14ac:dyDescent="0.3">
      <c r="B57" t="s">
        <v>37</v>
      </c>
      <c r="C57" s="13">
        <f>IFERROR(SUM('Data Sheet'!B65)-SUM('Data Sheet'!B67:B69),0)</f>
        <v>10887.879999999997</v>
      </c>
      <c r="D57" s="13">
        <f>IFERROR(SUM('Data Sheet'!C65)-SUM('Data Sheet'!C67:C69),0)</f>
        <v>29418.959999999999</v>
      </c>
      <c r="E57" s="13">
        <f>IFERROR(SUM('Data Sheet'!D65)-SUM('Data Sheet'!D67:D69),0)</f>
        <v>37143.679999999993</v>
      </c>
      <c r="F57" s="13">
        <f>IFERROR(SUM('Data Sheet'!E65)-SUM('Data Sheet'!E67:E69),0)</f>
        <v>41808.099999999991</v>
      </c>
      <c r="G57" s="13">
        <f>IFERROR(SUM('Data Sheet'!F65)-SUM('Data Sheet'!F67:F69),0)</f>
        <v>29846.279999999992</v>
      </c>
      <c r="H57" s="13">
        <f>IFERROR(SUM('Data Sheet'!G65)-SUM('Data Sheet'!G67:G69),0)</f>
        <v>36978.69</v>
      </c>
      <c r="I57" s="13">
        <f>IFERROR(SUM('Data Sheet'!H65)-SUM('Data Sheet'!H67:H69),0)</f>
        <v>23121.160000000003</v>
      </c>
      <c r="J57" s="13">
        <f>IFERROR(SUM('Data Sheet'!I65)-SUM('Data Sheet'!I67:I69),0)</f>
        <v>15786.18</v>
      </c>
      <c r="K57" s="13">
        <f>IFERROR(SUM('Data Sheet'!J65)-SUM('Data Sheet'!J67:J69),0)</f>
        <v>15231.080000000002</v>
      </c>
      <c r="L57" s="13">
        <f>IFERROR(SUM('Data Sheet'!K65)-SUM('Data Sheet'!K67:K69),0)</f>
        <v>18797.289999999994</v>
      </c>
    </row>
    <row r="58" spans="2:12" x14ac:dyDescent="0.3">
      <c r="B58" s="23" t="s">
        <v>81</v>
      </c>
      <c r="C58" s="24">
        <f>IFERROR(SUM(C54:C57),0)</f>
        <v>131135.67999999999</v>
      </c>
      <c r="D58" s="24">
        <f t="shared" ref="D58:L58" si="18">IFERROR(SUM(D54:D57),0)</f>
        <v>160037.73000000001</v>
      </c>
      <c r="E58" s="24">
        <f t="shared" si="18"/>
        <v>185964.97</v>
      </c>
      <c r="F58" s="24">
        <f t="shared" si="18"/>
        <v>202140.76999999996</v>
      </c>
      <c r="G58" s="24">
        <f t="shared" si="18"/>
        <v>195310.78999999998</v>
      </c>
      <c r="H58" s="24">
        <f t="shared" si="18"/>
        <v>205451.91999999998</v>
      </c>
      <c r="I58" s="24">
        <f t="shared" si="18"/>
        <v>209365.94999999998</v>
      </c>
      <c r="J58" s="24">
        <f t="shared" si="18"/>
        <v>205213.66</v>
      </c>
      <c r="K58" s="24">
        <f t="shared" si="18"/>
        <v>213961.59999999998</v>
      </c>
      <c r="L58" s="24">
        <f t="shared" si="18"/>
        <v>234290.97999999998</v>
      </c>
    </row>
    <row r="60" spans="2:12" x14ac:dyDescent="0.3">
      <c r="B60" t="s">
        <v>42</v>
      </c>
      <c r="C60" s="13">
        <f>IFERROR('Data Sheet'!B67,0)</f>
        <v>11586.82</v>
      </c>
      <c r="D60" s="13">
        <f>IFERROR('Data Sheet'!C67,0)</f>
        <v>12415.52</v>
      </c>
      <c r="E60" s="13">
        <f>IFERROR('Data Sheet'!D67,0)</f>
        <v>11811</v>
      </c>
      <c r="F60" s="13">
        <f>IFERROR('Data Sheet'!E67,0)</f>
        <v>7884.91</v>
      </c>
      <c r="G60" s="13">
        <f>IFERROR('Data Sheet'!F67,0)</f>
        <v>9539.84</v>
      </c>
      <c r="H60" s="13">
        <f>IFERROR('Data Sheet'!G67,0)</f>
        <v>12246.43</v>
      </c>
      <c r="I60" s="13">
        <f>IFERROR('Data Sheet'!H67,0)</f>
        <v>8257.24</v>
      </c>
      <c r="J60" s="13">
        <f>IFERROR('Data Sheet'!I67,0)</f>
        <v>6263.53</v>
      </c>
      <c r="K60" s="13">
        <f>IFERROR('Data Sheet'!J67,0)</f>
        <v>5260.06</v>
      </c>
      <c r="L60" s="13">
        <f>IFERROR('Data Sheet'!K67,0)</f>
        <v>4916.8900000000003</v>
      </c>
    </row>
    <row r="61" spans="2:12" x14ac:dyDescent="0.3">
      <c r="B61" t="s">
        <v>29</v>
      </c>
      <c r="C61" s="13">
        <f>IFERROR('Data Sheet'!B68,0)</f>
        <v>24803.82</v>
      </c>
      <c r="D61" s="13">
        <f>IFERROR('Data Sheet'!C68,0)</f>
        <v>28331.040000000001</v>
      </c>
      <c r="E61" s="13">
        <f>IFERROR('Data Sheet'!D68,0)</f>
        <v>31656.1</v>
      </c>
      <c r="F61" s="13">
        <f>IFERROR('Data Sheet'!E68,0)</f>
        <v>31068.720000000001</v>
      </c>
      <c r="G61" s="13">
        <f>IFERROR('Data Sheet'!F68,0)</f>
        <v>33276.379999999997</v>
      </c>
      <c r="H61" s="13">
        <f>IFERROR('Data Sheet'!G68,0)</f>
        <v>48824.39</v>
      </c>
      <c r="I61" s="13">
        <f>IFERROR('Data Sheet'!H68,0)</f>
        <v>54415.33</v>
      </c>
      <c r="J61" s="13">
        <f>IFERROR('Data Sheet'!I68,0)</f>
        <v>49157.51</v>
      </c>
      <c r="K61" s="13">
        <f>IFERROR('Data Sheet'!J68,0)</f>
        <v>44589.94</v>
      </c>
      <c r="L61" s="13">
        <f>IFERROR('Data Sheet'!K68,0)</f>
        <v>47249.22</v>
      </c>
    </row>
    <row r="62" spans="2:12" x14ac:dyDescent="0.3">
      <c r="B62" t="s">
        <v>51</v>
      </c>
      <c r="C62" s="13">
        <f>IFERROR('Data Sheet'!B69,0)</f>
        <v>4921.05</v>
      </c>
      <c r="D62" s="13">
        <f>IFERROR('Data Sheet'!C69,0)</f>
        <v>7937.85</v>
      </c>
      <c r="E62" s="13">
        <f>IFERROR('Data Sheet'!D69,0)</f>
        <v>3341.37</v>
      </c>
      <c r="F62" s="13">
        <f>IFERROR('Data Sheet'!E69,0)</f>
        <v>8054.72</v>
      </c>
      <c r="G62" s="13">
        <f>IFERROR('Data Sheet'!F69,0)</f>
        <v>5782.18</v>
      </c>
      <c r="H62" s="13">
        <f>IFERROR('Data Sheet'!G69,0)</f>
        <v>15898.93</v>
      </c>
      <c r="I62" s="13">
        <f>IFERROR('Data Sheet'!H69,0)</f>
        <v>13357.26</v>
      </c>
      <c r="J62" s="13">
        <f>IFERROR('Data Sheet'!I69,0)</f>
        <v>8677.7199999999993</v>
      </c>
      <c r="K62" s="13">
        <f>IFERROR('Data Sheet'!J69,0)</f>
        <v>11646.98</v>
      </c>
      <c r="L62" s="13">
        <f>IFERROR('Data Sheet'!K69,0)</f>
        <v>10057.530000000001</v>
      </c>
    </row>
    <row r="63" spans="2:12" x14ac:dyDescent="0.3">
      <c r="B63" s="23" t="s">
        <v>83</v>
      </c>
      <c r="C63" s="24">
        <f>IFERROR(SUM(C60:C62),0)</f>
        <v>41311.69</v>
      </c>
      <c r="D63" s="24">
        <f t="shared" ref="D63:L63" si="19">IFERROR(SUM(D60:D62),0)</f>
        <v>48684.409999999996</v>
      </c>
      <c r="E63" s="24">
        <f t="shared" si="19"/>
        <v>46808.47</v>
      </c>
      <c r="F63" s="24">
        <f t="shared" si="19"/>
        <v>47008.350000000006</v>
      </c>
      <c r="G63" s="24">
        <f t="shared" si="19"/>
        <v>48598.400000000001</v>
      </c>
      <c r="H63" s="24">
        <f t="shared" si="19"/>
        <v>76969.75</v>
      </c>
      <c r="I63" s="24">
        <f t="shared" si="19"/>
        <v>76029.83</v>
      </c>
      <c r="J63" s="24">
        <f t="shared" si="19"/>
        <v>64098.76</v>
      </c>
      <c r="K63" s="24">
        <f t="shared" si="19"/>
        <v>61496.979999999996</v>
      </c>
      <c r="L63" s="24">
        <f t="shared" si="19"/>
        <v>62223.64</v>
      </c>
    </row>
    <row r="65" spans="1:13" x14ac:dyDescent="0.3">
      <c r="B65" s="23" t="s">
        <v>84</v>
      </c>
      <c r="C65" s="24">
        <f>IFERROR(SUM(C58,C63),0)</f>
        <v>172447.37</v>
      </c>
      <c r="D65" s="24">
        <f t="shared" ref="D65:L65" si="20">IFERROR(SUM(D58,D63),0)</f>
        <v>208722.14</v>
      </c>
      <c r="E65" s="24">
        <f t="shared" si="20"/>
        <v>232773.44</v>
      </c>
      <c r="F65" s="24">
        <f t="shared" si="20"/>
        <v>249149.11999999997</v>
      </c>
      <c r="G65" s="24">
        <f t="shared" si="20"/>
        <v>243909.18999999997</v>
      </c>
      <c r="H65" s="24">
        <f t="shared" si="20"/>
        <v>282421.67</v>
      </c>
      <c r="I65" s="24">
        <f t="shared" si="20"/>
        <v>285395.77999999997</v>
      </c>
      <c r="J65" s="24">
        <f t="shared" si="20"/>
        <v>269312.42</v>
      </c>
      <c r="K65" s="24">
        <f t="shared" si="20"/>
        <v>275458.57999999996</v>
      </c>
      <c r="L65" s="24">
        <f t="shared" si="20"/>
        <v>296514.62</v>
      </c>
    </row>
    <row r="68" spans="1:13" x14ac:dyDescent="0.3">
      <c r="A68" t="s">
        <v>57</v>
      </c>
      <c r="B68" s="18" t="s">
        <v>110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x14ac:dyDescent="0.3">
      <c r="B69" s="8" t="s">
        <v>111</v>
      </c>
    </row>
    <row r="70" spans="1:13" x14ac:dyDescent="0.3">
      <c r="B70" t="s">
        <v>86</v>
      </c>
      <c r="C70" s="13">
        <f>IFERROR('Cash Flow Data'!E4,0)</f>
        <v>17581</v>
      </c>
      <c r="D70" s="13">
        <f>IFERROR('Cash Flow Data'!F4,0)</f>
        <v>20187</v>
      </c>
      <c r="E70" s="13">
        <f>IFERROR('Cash Flow Data'!G4,0)</f>
        <v>27840</v>
      </c>
      <c r="F70" s="13">
        <f>IFERROR('Cash Flow Data'!H4,0)</f>
        <v>18078</v>
      </c>
      <c r="G70" s="13">
        <f>IFERROR('Cash Flow Data'!I4,0)</f>
        <v>28540</v>
      </c>
      <c r="H70" s="13">
        <f>IFERROR('Cash Flow Data'!J4,0)</f>
        <v>65900</v>
      </c>
      <c r="I70" s="13">
        <f>IFERROR('Cash Flow Data'!K4,0)</f>
        <v>30908</v>
      </c>
      <c r="J70" s="13">
        <f>IFERROR('Cash Flow Data'!L4,0)</f>
        <v>22237</v>
      </c>
      <c r="K70" s="13">
        <f>IFERROR('Cash Flow Data'!M4,0)</f>
        <v>23929</v>
      </c>
      <c r="L70" s="13">
        <f>IFERROR('Cash Flow Data'!N4,0)</f>
        <v>34219</v>
      </c>
    </row>
    <row r="71" spans="1:13" x14ac:dyDescent="0.3">
      <c r="B71" t="s">
        <v>42</v>
      </c>
      <c r="C71" s="13">
        <f>IFERROR('Cash Flow Data'!E5,0)</f>
        <v>0</v>
      </c>
      <c r="D71" s="13">
        <f>IFERROR('Cash Flow Data'!F5,0)</f>
        <v>0</v>
      </c>
      <c r="E71" s="13">
        <f>IFERROR('Cash Flow Data'!G5,0)</f>
        <v>0</v>
      </c>
      <c r="F71" s="13">
        <f>IFERROR('Cash Flow Data'!H5,0)</f>
        <v>0</v>
      </c>
      <c r="G71" s="13">
        <f>IFERROR('Cash Flow Data'!I5,0)</f>
        <v>0</v>
      </c>
      <c r="H71" s="13">
        <f>IFERROR('Cash Flow Data'!J5,0)</f>
        <v>0</v>
      </c>
      <c r="I71" s="13">
        <f>IFERROR('Cash Flow Data'!K5,0)</f>
        <v>0</v>
      </c>
      <c r="J71" s="13">
        <f>IFERROR('Cash Flow Data'!L5,0)</f>
        <v>0</v>
      </c>
      <c r="K71" s="13">
        <f>IFERROR('Cash Flow Data'!M5,0)</f>
        <v>0</v>
      </c>
      <c r="L71" s="13">
        <f>IFERROR('Cash Flow Data'!N5,0)</f>
        <v>0</v>
      </c>
    </row>
    <row r="72" spans="1:13" x14ac:dyDescent="0.3">
      <c r="B72" t="s">
        <v>29</v>
      </c>
      <c r="C72" s="13">
        <f>IFERROR('Cash Flow Data'!E6,0)</f>
        <v>-8243</v>
      </c>
      <c r="D72" s="13">
        <f>IFERROR('Cash Flow Data'!F6,0)</f>
        <v>-1595</v>
      </c>
      <c r="E72" s="13">
        <f>IFERROR('Cash Flow Data'!G6,0)</f>
        <v>-1069</v>
      </c>
      <c r="F72" s="13">
        <f>IFERROR('Cash Flow Data'!H6,0)</f>
        <v>1562</v>
      </c>
      <c r="G72" s="13">
        <f>IFERROR('Cash Flow Data'!I6,0)</f>
        <v>46</v>
      </c>
      <c r="H72" s="13">
        <f>IFERROR('Cash Flow Data'!J6,0)</f>
        <v>-16917</v>
      </c>
      <c r="I72" s="13">
        <f>IFERROR('Cash Flow Data'!K6,0)</f>
        <v>-4031</v>
      </c>
      <c r="J72" s="13">
        <f>IFERROR('Cash Flow Data'!L6,0)</f>
        <v>5566</v>
      </c>
      <c r="K72" s="13">
        <f>IFERROR('Cash Flow Data'!M6,0)</f>
        <v>4776</v>
      </c>
      <c r="L72" s="13">
        <f>IFERROR('Cash Flow Data'!N6,0)</f>
        <v>1290</v>
      </c>
    </row>
    <row r="73" spans="1:13" x14ac:dyDescent="0.3">
      <c r="B73" t="s">
        <v>87</v>
      </c>
      <c r="C73" s="13">
        <f>IFERROR('Cash Flow Data'!E7,0)</f>
        <v>0</v>
      </c>
      <c r="D73" s="13">
        <f>IFERROR('Cash Flow Data'!F7,0)</f>
        <v>0</v>
      </c>
      <c r="E73" s="13">
        <f>IFERROR('Cash Flow Data'!G7,0)</f>
        <v>0</v>
      </c>
      <c r="F73" s="13">
        <f>IFERROR('Cash Flow Data'!H7,0)</f>
        <v>0</v>
      </c>
      <c r="G73" s="13">
        <f>IFERROR('Cash Flow Data'!I7,0)</f>
        <v>0</v>
      </c>
      <c r="H73" s="13">
        <f>IFERROR('Cash Flow Data'!J7,0)</f>
        <v>0</v>
      </c>
      <c r="I73" s="13">
        <f>IFERROR('Cash Flow Data'!K7,0)</f>
        <v>0</v>
      </c>
      <c r="J73" s="13">
        <f>IFERROR('Cash Flow Data'!L7,0)</f>
        <v>0</v>
      </c>
      <c r="K73" s="13">
        <f>IFERROR('Cash Flow Data'!M7,0)</f>
        <v>0</v>
      </c>
      <c r="L73" s="13">
        <f>IFERROR('Cash Flow Data'!N7,0)</f>
        <v>0</v>
      </c>
    </row>
    <row r="74" spans="1:13" x14ac:dyDescent="0.3">
      <c r="B74" t="s">
        <v>88</v>
      </c>
      <c r="C74" s="13">
        <f>IFERROR('Cash Flow Data'!E8,0)</f>
        <v>3329</v>
      </c>
      <c r="D74" s="13">
        <f>IFERROR('Cash Flow Data'!F8,0)</f>
        <v>-7680</v>
      </c>
      <c r="E74" s="13">
        <f>IFERROR('Cash Flow Data'!G8,0)</f>
        <v>3659</v>
      </c>
      <c r="F74" s="13">
        <f>IFERROR('Cash Flow Data'!H8,0)</f>
        <v>2634</v>
      </c>
      <c r="G74" s="13">
        <f>IFERROR('Cash Flow Data'!I8,0)</f>
        <v>16446</v>
      </c>
      <c r="H74" s="13">
        <f>IFERROR('Cash Flow Data'!J8,0)</f>
        <v>7299</v>
      </c>
      <c r="I74" s="13">
        <f>IFERROR('Cash Flow Data'!K8,0)</f>
        <v>325</v>
      </c>
      <c r="J74" s="13">
        <f>IFERROR('Cash Flow Data'!L8,0)</f>
        <v>-2182</v>
      </c>
      <c r="K74" s="13">
        <f>IFERROR('Cash Flow Data'!M8,0)</f>
        <v>-2569</v>
      </c>
      <c r="L74" s="13">
        <f>IFERROR('Cash Flow Data'!N8,0)</f>
        <v>4152</v>
      </c>
    </row>
    <row r="75" spans="1:13" x14ac:dyDescent="0.3">
      <c r="B75" t="s">
        <v>89</v>
      </c>
      <c r="C75" s="13">
        <f>IFERROR('Cash Flow Data'!E9,0)</f>
        <v>-4914</v>
      </c>
      <c r="D75" s="13">
        <f>IFERROR('Cash Flow Data'!F9,0)</f>
        <v>-9276</v>
      </c>
      <c r="E75" s="13">
        <f>IFERROR('Cash Flow Data'!G9,0)</f>
        <v>2591</v>
      </c>
      <c r="F75" s="13">
        <f>IFERROR('Cash Flow Data'!H9,0)</f>
        <v>4196</v>
      </c>
      <c r="G75" s="13">
        <f>IFERROR('Cash Flow Data'!I9,0)</f>
        <v>16491</v>
      </c>
      <c r="H75" s="13">
        <f>IFERROR('Cash Flow Data'!J9,0)</f>
        <v>-9618</v>
      </c>
      <c r="I75" s="13">
        <f>IFERROR('Cash Flow Data'!K9,0)</f>
        <v>-3706</v>
      </c>
      <c r="J75" s="13">
        <f>IFERROR('Cash Flow Data'!L9,0)</f>
        <v>3384</v>
      </c>
      <c r="K75" s="13">
        <f>IFERROR('Cash Flow Data'!M9,0)</f>
        <v>2207</v>
      </c>
      <c r="L75" s="13">
        <f>IFERROR('Cash Flow Data'!N9,0)</f>
        <v>5442</v>
      </c>
    </row>
    <row r="76" spans="1:13" x14ac:dyDescent="0.3">
      <c r="B76" t="s">
        <v>90</v>
      </c>
      <c r="C76" s="13">
        <f>IFERROR('Cash Flow Data'!E10,0)</f>
        <v>-1843</v>
      </c>
      <c r="D76" s="13">
        <f>IFERROR('Cash Flow Data'!F10,0)</f>
        <v>-2888</v>
      </c>
      <c r="E76" s="13">
        <f>IFERROR('Cash Flow Data'!G10,0)</f>
        <v>-5094</v>
      </c>
      <c r="F76" s="13">
        <f>IFERROR('Cash Flow Data'!H10,0)</f>
        <v>-2106</v>
      </c>
      <c r="G76" s="13">
        <f>IFERROR('Cash Flow Data'!I10,0)</f>
        <v>-704</v>
      </c>
      <c r="H76" s="13">
        <f>IFERROR('Cash Flow Data'!J10,0)</f>
        <v>-11902</v>
      </c>
      <c r="I76" s="13">
        <f>IFERROR('Cash Flow Data'!K10,0)</f>
        <v>-5519</v>
      </c>
      <c r="J76" s="13">
        <f>IFERROR('Cash Flow Data'!L10,0)</f>
        <v>-5320</v>
      </c>
      <c r="K76" s="13">
        <f>IFERROR('Cash Flow Data'!M10,0)</f>
        <v>-2998</v>
      </c>
      <c r="L76" s="13">
        <f>IFERROR('Cash Flow Data'!N10,0)</f>
        <v>-4597</v>
      </c>
    </row>
    <row r="77" spans="1:13" x14ac:dyDescent="0.3">
      <c r="B77" s="8" t="s">
        <v>112</v>
      </c>
      <c r="C77" s="20">
        <f>IFERROR(SUM(C70:C76),0)</f>
        <v>5910</v>
      </c>
      <c r="D77" s="20">
        <f t="shared" ref="D77:L77" si="21">IFERROR(SUM(D70:D76),0)</f>
        <v>-1252</v>
      </c>
      <c r="E77" s="20">
        <f t="shared" si="21"/>
        <v>27927</v>
      </c>
      <c r="F77" s="20">
        <f t="shared" si="21"/>
        <v>24364</v>
      </c>
      <c r="G77" s="20">
        <f t="shared" si="21"/>
        <v>60819</v>
      </c>
      <c r="H77" s="20">
        <f t="shared" si="21"/>
        <v>34762</v>
      </c>
      <c r="I77" s="20">
        <f t="shared" si="21"/>
        <v>17977</v>
      </c>
      <c r="J77" s="20">
        <f t="shared" si="21"/>
        <v>23685</v>
      </c>
      <c r="K77" s="20">
        <f t="shared" si="21"/>
        <v>25345</v>
      </c>
      <c r="L77" s="20">
        <f t="shared" si="21"/>
        <v>40506</v>
      </c>
    </row>
    <row r="79" spans="1:13" x14ac:dyDescent="0.3">
      <c r="B79" s="8" t="s">
        <v>113</v>
      </c>
    </row>
    <row r="80" spans="1:13" x14ac:dyDescent="0.3">
      <c r="B80" t="s">
        <v>92</v>
      </c>
      <c r="C80" s="13">
        <f>IFERROR('Cash Flow Data'!E12,0)</f>
        <v>-7716</v>
      </c>
      <c r="D80" s="13">
        <f>IFERROR('Cash Flow Data'!F12,0)</f>
        <v>-7478</v>
      </c>
      <c r="E80" s="13">
        <f>IFERROR('Cash Flow Data'!G12,0)</f>
        <v>-9091</v>
      </c>
      <c r="F80" s="13">
        <f>IFERROR('Cash Flow Data'!H12,0)</f>
        <v>-10398</v>
      </c>
      <c r="G80" s="13">
        <f>IFERROR('Cash Flow Data'!I12,0)</f>
        <v>-6979</v>
      </c>
      <c r="H80" s="13">
        <f>IFERROR('Cash Flow Data'!J12,0)</f>
        <v>-10522</v>
      </c>
      <c r="I80" s="13">
        <f>IFERROR('Cash Flow Data'!K12,0)</f>
        <v>-14142</v>
      </c>
      <c r="J80" s="13">
        <f>IFERROR('Cash Flow Data'!L12,0)</f>
        <v>-18207</v>
      </c>
      <c r="K80" s="13">
        <f>IFERROR('Cash Flow Data'!M12,0)</f>
        <v>-15671</v>
      </c>
      <c r="L80" s="13">
        <f>IFERROR('Cash Flow Data'!N12,0)</f>
        <v>-14559</v>
      </c>
    </row>
    <row r="81" spans="2:12" x14ac:dyDescent="0.3">
      <c r="B81" t="s">
        <v>93</v>
      </c>
      <c r="C81" s="13">
        <f>IFERROR('Cash Flow Data'!E13,0)</f>
        <v>289</v>
      </c>
      <c r="D81" s="13">
        <f>IFERROR('Cash Flow Data'!F13,0)</f>
        <v>179</v>
      </c>
      <c r="E81" s="13">
        <f>IFERROR('Cash Flow Data'!G13,0)</f>
        <v>467</v>
      </c>
      <c r="F81" s="13">
        <f>IFERROR('Cash Flow Data'!H13,0)</f>
        <v>386</v>
      </c>
      <c r="G81" s="13">
        <f>IFERROR('Cash Flow Data'!I13,0)</f>
        <v>445</v>
      </c>
      <c r="H81" s="13">
        <f>IFERROR('Cash Flow Data'!J13,0)</f>
        <v>569</v>
      </c>
      <c r="I81" s="13">
        <f>IFERROR('Cash Flow Data'!K13,0)</f>
        <v>328</v>
      </c>
      <c r="J81" s="13">
        <f>IFERROR('Cash Flow Data'!L13,0)</f>
        <v>475</v>
      </c>
      <c r="K81" s="13">
        <f>IFERROR('Cash Flow Data'!M13,0)</f>
        <v>1264</v>
      </c>
      <c r="L81" s="13">
        <f>IFERROR('Cash Flow Data'!N13,0)</f>
        <v>1401</v>
      </c>
    </row>
    <row r="82" spans="2:12" x14ac:dyDescent="0.3">
      <c r="B82" t="s">
        <v>94</v>
      </c>
      <c r="C82" s="13">
        <f>IFERROR('Cash Flow Data'!E14,0)</f>
        <v>-861</v>
      </c>
      <c r="D82" s="13">
        <f>IFERROR('Cash Flow Data'!F14,0)</f>
        <v>-8641</v>
      </c>
      <c r="E82" s="13">
        <f>IFERROR('Cash Flow Data'!G14,0)</f>
        <v>-490</v>
      </c>
      <c r="F82" s="13">
        <f>IFERROR('Cash Flow Data'!H14,0)</f>
        <v>-828</v>
      </c>
      <c r="G82" s="13">
        <f>IFERROR('Cash Flow Data'!I14,0)</f>
        <v>-3631</v>
      </c>
      <c r="H82" s="13">
        <f>IFERROR('Cash Flow Data'!J14,0)</f>
        <v>-1153</v>
      </c>
      <c r="I82" s="13">
        <f>IFERROR('Cash Flow Data'!K14,0)</f>
        <v>-326</v>
      </c>
      <c r="J82" s="13">
        <f>IFERROR('Cash Flow Data'!L14,0)</f>
        <v>-4</v>
      </c>
      <c r="K82" s="13">
        <f>IFERROR('Cash Flow Data'!M14,0)</f>
        <v>-393</v>
      </c>
      <c r="L82" s="13">
        <f>IFERROR('Cash Flow Data'!N14,0)</f>
        <v>-553</v>
      </c>
    </row>
    <row r="83" spans="2:12" x14ac:dyDescent="0.3">
      <c r="B83" t="s">
        <v>95</v>
      </c>
      <c r="C83" s="13">
        <f>IFERROR('Cash Flow Data'!E15,0)</f>
        <v>91</v>
      </c>
      <c r="D83" s="13">
        <f>IFERROR('Cash Flow Data'!F15,0)</f>
        <v>3899</v>
      </c>
      <c r="E83" s="13">
        <f>IFERROR('Cash Flow Data'!G15,0)</f>
        <v>13556</v>
      </c>
      <c r="F83" s="13">
        <f>IFERROR('Cash Flow Data'!H15,0)</f>
        <v>121</v>
      </c>
      <c r="G83" s="13">
        <f>IFERROR('Cash Flow Data'!I15,0)</f>
        <v>0</v>
      </c>
      <c r="H83" s="13">
        <f>IFERROR('Cash Flow Data'!J15,0)</f>
        <v>63</v>
      </c>
      <c r="I83" s="13">
        <f>IFERROR('Cash Flow Data'!K15,0)</f>
        <v>5191</v>
      </c>
      <c r="J83" s="13">
        <f>IFERROR('Cash Flow Data'!L15,0)</f>
        <v>3171</v>
      </c>
      <c r="K83" s="13">
        <f>IFERROR('Cash Flow Data'!M15,0)</f>
        <v>554</v>
      </c>
      <c r="L83" s="13">
        <f>IFERROR('Cash Flow Data'!N15,0)</f>
        <v>20</v>
      </c>
    </row>
    <row r="84" spans="2:12" x14ac:dyDescent="0.3">
      <c r="B84" t="s">
        <v>96</v>
      </c>
      <c r="C84" s="13">
        <f>IFERROR('Cash Flow Data'!E16,0)</f>
        <v>140</v>
      </c>
      <c r="D84" s="13">
        <f>IFERROR('Cash Flow Data'!F16,0)</f>
        <v>254</v>
      </c>
      <c r="E84" s="13">
        <f>IFERROR('Cash Flow Data'!G16,0)</f>
        <v>175</v>
      </c>
      <c r="F84" s="13">
        <f>IFERROR('Cash Flow Data'!H16,0)</f>
        <v>203</v>
      </c>
      <c r="G84" s="13">
        <f>IFERROR('Cash Flow Data'!I16,0)</f>
        <v>266</v>
      </c>
      <c r="H84" s="13">
        <f>IFERROR('Cash Flow Data'!J16,0)</f>
        <v>137</v>
      </c>
      <c r="I84" s="13">
        <f>IFERROR('Cash Flow Data'!K16,0)</f>
        <v>248</v>
      </c>
      <c r="J84" s="13">
        <f>IFERROR('Cash Flow Data'!L16,0)</f>
        <v>333</v>
      </c>
      <c r="K84" s="13">
        <f>IFERROR('Cash Flow Data'!M16,0)</f>
        <v>616</v>
      </c>
      <c r="L84" s="13">
        <f>IFERROR('Cash Flow Data'!N16,0)</f>
        <v>650</v>
      </c>
    </row>
    <row r="85" spans="2:12" x14ac:dyDescent="0.3">
      <c r="B85" t="s">
        <v>97</v>
      </c>
      <c r="C85" s="13">
        <f>IFERROR('Cash Flow Data'!E17,0)</f>
        <v>85</v>
      </c>
      <c r="D85" s="13">
        <f>IFERROR('Cash Flow Data'!F17,0)</f>
        <v>111</v>
      </c>
      <c r="E85" s="13">
        <f>IFERROR('Cash Flow Data'!G17,0)</f>
        <v>148</v>
      </c>
      <c r="F85" s="13">
        <f>IFERROR('Cash Flow Data'!H17,0)</f>
        <v>103</v>
      </c>
      <c r="G85" s="13">
        <f>IFERROR('Cash Flow Data'!I17,0)</f>
        <v>135</v>
      </c>
      <c r="H85" s="13">
        <f>IFERROR('Cash Flow Data'!J17,0)</f>
        <v>162</v>
      </c>
      <c r="I85" s="13">
        <f>IFERROR('Cash Flow Data'!K17,0)</f>
        <v>317</v>
      </c>
      <c r="J85" s="13">
        <f>IFERROR('Cash Flow Data'!L17,0)</f>
        <v>336</v>
      </c>
      <c r="K85" s="13">
        <f>IFERROR('Cash Flow Data'!M17,0)</f>
        <v>294</v>
      </c>
      <c r="L85" s="13">
        <f>IFERROR('Cash Flow Data'!N17,0)</f>
        <v>408</v>
      </c>
    </row>
    <row r="86" spans="2:12" x14ac:dyDescent="0.3">
      <c r="B86" t="s">
        <v>98</v>
      </c>
      <c r="C86" s="13">
        <f>IFERROR('Cash Flow Data'!E18,0)</f>
        <v>0</v>
      </c>
      <c r="D86" s="13">
        <f>IFERROR('Cash Flow Data'!F18,0)</f>
        <v>34</v>
      </c>
      <c r="E86" s="13">
        <f>IFERROR('Cash Flow Data'!G18,0)</f>
        <v>156</v>
      </c>
      <c r="F86" s="13">
        <f>IFERROR('Cash Flow Data'!H18,0)</f>
        <v>378</v>
      </c>
      <c r="G86" s="13">
        <f>IFERROR('Cash Flow Data'!I18,0)</f>
        <v>90</v>
      </c>
      <c r="H86" s="13">
        <f>IFERROR('Cash Flow Data'!J18,0)</f>
        <v>1208</v>
      </c>
      <c r="I86" s="13">
        <f>IFERROR('Cash Flow Data'!K18,0)</f>
        <v>166</v>
      </c>
      <c r="J86" s="13">
        <f>IFERROR('Cash Flow Data'!L18,0)</f>
        <v>123</v>
      </c>
      <c r="K86" s="13">
        <f>IFERROR('Cash Flow Data'!M18,0)</f>
        <v>28</v>
      </c>
      <c r="L86" s="13">
        <f>IFERROR('Cash Flow Data'!N18,0)</f>
        <v>611</v>
      </c>
    </row>
    <row r="87" spans="2:12" x14ac:dyDescent="0.3">
      <c r="B87" t="s">
        <v>99</v>
      </c>
      <c r="C87" s="13">
        <f>IFERROR('Cash Flow Data'!E19,0)</f>
        <v>-1081</v>
      </c>
      <c r="D87" s="13">
        <f>IFERROR('Cash Flow Data'!F19,0)</f>
        <v>-255</v>
      </c>
      <c r="E87" s="13">
        <f>IFERROR('Cash Flow Data'!G19,0)</f>
        <v>-34569</v>
      </c>
      <c r="F87" s="13">
        <f>IFERROR('Cash Flow Data'!H19,0)</f>
        <v>-4433</v>
      </c>
      <c r="G87" s="13">
        <f>IFERROR('Cash Flow Data'!I19,0)</f>
        <v>0</v>
      </c>
      <c r="H87" s="13">
        <f>IFERROR('Cash Flow Data'!J19,0)</f>
        <v>-53</v>
      </c>
      <c r="I87" s="13">
        <f>IFERROR('Cash Flow Data'!K19,0)</f>
        <v>-10569</v>
      </c>
      <c r="J87" s="13">
        <f>IFERROR('Cash Flow Data'!L19,0)</f>
        <v>0</v>
      </c>
      <c r="K87" s="13">
        <f>IFERROR('Cash Flow Data'!M19,0)</f>
        <v>-6</v>
      </c>
      <c r="L87" s="13">
        <f>IFERROR('Cash Flow Data'!N19,0)</f>
        <v>-2846</v>
      </c>
    </row>
    <row r="88" spans="2:12" x14ac:dyDescent="0.3">
      <c r="B88" t="s">
        <v>100</v>
      </c>
      <c r="C88" s="13">
        <f>IFERROR('Cash Flow Data'!E20,0)</f>
        <v>0</v>
      </c>
      <c r="D88" s="13">
        <f>IFERROR('Cash Flow Data'!F20,0)</f>
        <v>0</v>
      </c>
      <c r="E88" s="13">
        <f>IFERROR('Cash Flow Data'!G20,0)</f>
        <v>0</v>
      </c>
      <c r="F88" s="13">
        <f>IFERROR('Cash Flow Data'!H20,0)</f>
        <v>0</v>
      </c>
      <c r="G88" s="13">
        <f>IFERROR('Cash Flow Data'!I20,0)</f>
        <v>0</v>
      </c>
      <c r="H88" s="13">
        <f>IFERROR('Cash Flow Data'!J20,0)</f>
        <v>0</v>
      </c>
      <c r="I88" s="13">
        <f>IFERROR('Cash Flow Data'!K20,0)</f>
        <v>0</v>
      </c>
      <c r="J88" s="13">
        <f>IFERROR('Cash Flow Data'!L20,0)</f>
        <v>0</v>
      </c>
      <c r="K88" s="13">
        <f>IFERROR('Cash Flow Data'!M20,0)</f>
        <v>0</v>
      </c>
      <c r="L88" s="13">
        <f>IFERROR('Cash Flow Data'!N20,0)</f>
        <v>0</v>
      </c>
    </row>
    <row r="89" spans="2:12" x14ac:dyDescent="0.3">
      <c r="B89" t="s">
        <v>101</v>
      </c>
      <c r="C89" s="13">
        <f>IFERROR('Cash Flow Data'!E21,0)</f>
        <v>-437</v>
      </c>
      <c r="D89" s="13">
        <f>IFERROR('Cash Flow Data'!F21,0)</f>
        <v>166</v>
      </c>
      <c r="E89" s="13">
        <f>IFERROR('Cash Flow Data'!G21,0)</f>
        <v>471</v>
      </c>
      <c r="F89" s="13">
        <f>IFERROR('Cash Flow Data'!H21,0)</f>
        <v>456</v>
      </c>
      <c r="G89" s="13">
        <f>IFERROR('Cash Flow Data'!I21,0)</f>
        <v>236</v>
      </c>
      <c r="H89" s="13">
        <f>IFERROR('Cash Flow Data'!J21,0)</f>
        <v>-1315</v>
      </c>
      <c r="I89" s="13">
        <f>IFERROR('Cash Flow Data'!K21,0)</f>
        <v>609</v>
      </c>
      <c r="J89" s="13">
        <f>IFERROR('Cash Flow Data'!L21,0)</f>
        <v>-481</v>
      </c>
      <c r="K89" s="13">
        <f>IFERROR('Cash Flow Data'!M21,0)</f>
        <v>-298</v>
      </c>
      <c r="L89" s="13">
        <f>IFERROR('Cash Flow Data'!N21,0)</f>
        <v>472</v>
      </c>
    </row>
    <row r="90" spans="2:12" x14ac:dyDescent="0.3">
      <c r="B90" s="8" t="s">
        <v>114</v>
      </c>
      <c r="C90" s="20">
        <f>IFERROR(SUM(C80:C89),0)</f>
        <v>-9490</v>
      </c>
      <c r="D90" s="20">
        <f t="shared" ref="D90:L90" si="22">IFERROR(SUM(D80:D89),0)</f>
        <v>-11731</v>
      </c>
      <c r="E90" s="20">
        <f t="shared" si="22"/>
        <v>-29177</v>
      </c>
      <c r="F90" s="20">
        <f t="shared" si="22"/>
        <v>-14012</v>
      </c>
      <c r="G90" s="20">
        <f t="shared" si="22"/>
        <v>-9438</v>
      </c>
      <c r="H90" s="20">
        <f t="shared" si="22"/>
        <v>-10904</v>
      </c>
      <c r="I90" s="20">
        <f t="shared" si="22"/>
        <v>-18178</v>
      </c>
      <c r="J90" s="20">
        <f t="shared" si="22"/>
        <v>-14254</v>
      </c>
      <c r="K90" s="20">
        <f t="shared" si="22"/>
        <v>-13612</v>
      </c>
      <c r="L90" s="20">
        <f t="shared" si="22"/>
        <v>-14396</v>
      </c>
    </row>
    <row r="92" spans="2:12" x14ac:dyDescent="0.3">
      <c r="B92" s="8" t="s">
        <v>115</v>
      </c>
    </row>
    <row r="93" spans="2:12" x14ac:dyDescent="0.3">
      <c r="B93" t="s">
        <v>103</v>
      </c>
      <c r="C93" s="13">
        <f>IFERROR('Cash Flow Data'!E23,0)</f>
        <v>652</v>
      </c>
      <c r="D93" s="13">
        <f>IFERROR('Cash Flow Data'!F23,0)</f>
        <v>9087</v>
      </c>
      <c r="E93" s="13">
        <f>IFERROR('Cash Flow Data'!G23,0)</f>
        <v>0</v>
      </c>
      <c r="F93" s="13">
        <f>IFERROR('Cash Flow Data'!H23,0)</f>
        <v>188</v>
      </c>
      <c r="G93" s="13">
        <f>IFERROR('Cash Flow Data'!I23,0)</f>
        <v>3239</v>
      </c>
      <c r="H93" s="13">
        <f>IFERROR('Cash Flow Data'!J23,0)</f>
        <v>326</v>
      </c>
      <c r="I93" s="13">
        <f>IFERROR('Cash Flow Data'!K23,0)</f>
        <v>1</v>
      </c>
      <c r="J93" s="13">
        <f>IFERROR('Cash Flow Data'!L23,0)</f>
        <v>0</v>
      </c>
      <c r="K93" s="13">
        <f>IFERROR('Cash Flow Data'!M23,0)</f>
        <v>0</v>
      </c>
      <c r="L93" s="13">
        <f>IFERROR('Cash Flow Data'!N23,0)</f>
        <v>0</v>
      </c>
    </row>
    <row r="94" spans="2:12" x14ac:dyDescent="0.3">
      <c r="B94" t="s">
        <v>104</v>
      </c>
      <c r="C94" s="13">
        <f>IFERROR('Cash Flow Data'!E24,0)</f>
        <v>0</v>
      </c>
      <c r="D94" s="13">
        <f>IFERROR('Cash Flow Data'!F24,0)</f>
        <v>0</v>
      </c>
      <c r="E94" s="13">
        <f>IFERROR('Cash Flow Data'!G24,0)</f>
        <v>33344</v>
      </c>
      <c r="F94" s="13">
        <f>IFERROR('Cash Flow Data'!H24,0)</f>
        <v>16574</v>
      </c>
      <c r="G94" s="13">
        <f>IFERROR('Cash Flow Data'!I24,0)</f>
        <v>9801</v>
      </c>
      <c r="H94" s="13">
        <f>IFERROR('Cash Flow Data'!J24,0)</f>
        <v>12439</v>
      </c>
      <c r="I94" s="13">
        <f>IFERROR('Cash Flow Data'!K24,0)</f>
        <v>16769</v>
      </c>
      <c r="J94" s="13">
        <f>IFERROR('Cash Flow Data'!L24,0)</f>
        <v>14120</v>
      </c>
      <c r="K94" s="13">
        <f>IFERROR('Cash Flow Data'!M24,0)</f>
        <v>23893</v>
      </c>
      <c r="L94" s="13">
        <f>IFERROR('Cash Flow Data'!N24,0)</f>
        <v>15954</v>
      </c>
    </row>
    <row r="95" spans="2:12" x14ac:dyDescent="0.3">
      <c r="B95" t="s">
        <v>105</v>
      </c>
      <c r="C95" s="13">
        <f>IFERROR('Cash Flow Data'!E25,0)</f>
        <v>0</v>
      </c>
      <c r="D95" s="13">
        <f>IFERROR('Cash Flow Data'!F25,0)</f>
        <v>0</v>
      </c>
      <c r="E95" s="13">
        <f>IFERROR('Cash Flow Data'!G25,0)</f>
        <v>-25077</v>
      </c>
      <c r="F95" s="13">
        <f>IFERROR('Cash Flow Data'!H25,0)</f>
        <v>-7937</v>
      </c>
      <c r="G95" s="13">
        <f>IFERROR('Cash Flow Data'!I25,0)</f>
        <v>-39177</v>
      </c>
      <c r="H95" s="13">
        <f>IFERROR('Cash Flow Data'!J25,0)</f>
        <v>-26360</v>
      </c>
      <c r="I95" s="13">
        <f>IFERROR('Cash Flow Data'!K25,0)</f>
        <v>-10226</v>
      </c>
      <c r="J95" s="13">
        <f>IFERROR('Cash Flow Data'!L25,0)</f>
        <v>-11908</v>
      </c>
      <c r="K95" s="13">
        <f>IFERROR('Cash Flow Data'!M25,0)</f>
        <v>-17627</v>
      </c>
      <c r="L95" s="13">
        <f>IFERROR('Cash Flow Data'!N25,0)</f>
        <v>-23916</v>
      </c>
    </row>
    <row r="96" spans="2:12" x14ac:dyDescent="0.3">
      <c r="B96" t="s">
        <v>106</v>
      </c>
      <c r="C96" s="13">
        <f>IFERROR('Cash Flow Data'!E26,0)</f>
        <v>-4733</v>
      </c>
      <c r="D96" s="13">
        <f>IFERROR('Cash Flow Data'!F26,0)</f>
        <v>-5146</v>
      </c>
      <c r="E96" s="13">
        <f>IFERROR('Cash Flow Data'!G26,0)</f>
        <v>-6901</v>
      </c>
      <c r="F96" s="13">
        <f>IFERROR('Cash Flow Data'!H26,0)</f>
        <v>-7419</v>
      </c>
      <c r="G96" s="13">
        <f>IFERROR('Cash Flow Data'!I26,0)</f>
        <v>-6804</v>
      </c>
      <c r="H96" s="13">
        <f>IFERROR('Cash Flow Data'!J26,0)</f>
        <v>-4687</v>
      </c>
      <c r="I96" s="13">
        <f>IFERROR('Cash Flow Data'!K26,0)</f>
        <v>-6120</v>
      </c>
      <c r="J96" s="13">
        <f>IFERROR('Cash Flow Data'!L26,0)</f>
        <v>-8145</v>
      </c>
      <c r="K96" s="13">
        <f>IFERROR('Cash Flow Data'!M26,0)</f>
        <v>-8119</v>
      </c>
      <c r="L96" s="13">
        <f>IFERROR('Cash Flow Data'!N26,0)</f>
        <v>-8066</v>
      </c>
    </row>
    <row r="97" spans="1:13" x14ac:dyDescent="0.3">
      <c r="B97" t="s">
        <v>107</v>
      </c>
      <c r="C97" s="13">
        <f>IFERROR('Cash Flow Data'!E27,0)</f>
        <v>-791</v>
      </c>
      <c r="D97" s="13">
        <f>IFERROR('Cash Flow Data'!F27,0)</f>
        <v>-982</v>
      </c>
      <c r="E97" s="13">
        <f>IFERROR('Cash Flow Data'!G27,0)</f>
        <v>-1186</v>
      </c>
      <c r="F97" s="13">
        <f>IFERROR('Cash Flow Data'!H27,0)</f>
        <v>-1507</v>
      </c>
      <c r="G97" s="13">
        <f>IFERROR('Cash Flow Data'!I27,0)</f>
        <v>-1151</v>
      </c>
      <c r="H97" s="13">
        <f>IFERROR('Cash Flow Data'!J27,0)</f>
        <v>-3020</v>
      </c>
      <c r="I97" s="13">
        <f>IFERROR('Cash Flow Data'!K27,0)</f>
        <v>-6293</v>
      </c>
      <c r="J97" s="13">
        <f>IFERROR('Cash Flow Data'!L27,0)</f>
        <v>-4429</v>
      </c>
      <c r="K97" s="13">
        <f>IFERROR('Cash Flow Data'!M27,0)</f>
        <v>-4490</v>
      </c>
      <c r="L97" s="13">
        <f>IFERROR('Cash Flow Data'!N27,0)</f>
        <v>-4490</v>
      </c>
    </row>
    <row r="98" spans="1:13" x14ac:dyDescent="0.3">
      <c r="B98" t="s">
        <v>108</v>
      </c>
      <c r="C98" s="13">
        <f>IFERROR('Cash Flow Data'!E28,0)</f>
        <v>-208</v>
      </c>
      <c r="D98" s="13">
        <f>IFERROR('Cash Flow Data'!F28,0)</f>
        <v>-211</v>
      </c>
      <c r="E98" s="13">
        <f>IFERROR('Cash Flow Data'!G28,0)</f>
        <v>-276</v>
      </c>
      <c r="F98" s="13">
        <f>IFERROR('Cash Flow Data'!H28,0)</f>
        <v>-1029</v>
      </c>
      <c r="G98" s="13">
        <f>IFERROR('Cash Flow Data'!I28,0)</f>
        <v>-1284</v>
      </c>
      <c r="H98" s="13">
        <f>IFERROR('Cash Flow Data'!J28,0)</f>
        <v>-1310</v>
      </c>
      <c r="I98" s="13">
        <f>IFERROR('Cash Flow Data'!K28,0)</f>
        <v>-1114</v>
      </c>
      <c r="J98" s="13">
        <f>IFERROR('Cash Flow Data'!L28,0)</f>
        <v>-1140</v>
      </c>
      <c r="K98" s="13">
        <f>IFERROR('Cash Flow Data'!M28,0)</f>
        <v>-971</v>
      </c>
      <c r="L98" s="13">
        <f>IFERROR('Cash Flow Data'!N28,0)</f>
        <v>-1162</v>
      </c>
    </row>
    <row r="99" spans="1:13" x14ac:dyDescent="0.3">
      <c r="B99" t="s">
        <v>109</v>
      </c>
      <c r="C99" s="13">
        <f>IFERROR('Cash Flow Data'!E29,0)</f>
        <v>2501</v>
      </c>
      <c r="D99" s="13">
        <f>IFERROR('Cash Flow Data'!F29,0)</f>
        <v>3892</v>
      </c>
      <c r="E99" s="13">
        <f>IFERROR('Cash Flow Data'!G29,0)</f>
        <v>-576</v>
      </c>
      <c r="F99" s="13">
        <f>IFERROR('Cash Flow Data'!H29,0)</f>
        <v>-564</v>
      </c>
      <c r="G99" s="13">
        <f>IFERROR('Cash Flow Data'!I29,0)</f>
        <v>-1714</v>
      </c>
      <c r="H99" s="13">
        <f>IFERROR('Cash Flow Data'!J29,0)</f>
        <v>-789</v>
      </c>
      <c r="I99" s="13">
        <f>IFERROR('Cash Flow Data'!K29,0)</f>
        <v>2</v>
      </c>
      <c r="J99" s="13">
        <f>IFERROR('Cash Flow Data'!L29,0)</f>
        <v>404</v>
      </c>
      <c r="K99" s="13">
        <f>IFERROR('Cash Flow Data'!M29,0)</f>
        <v>312</v>
      </c>
      <c r="L99" s="13">
        <f>IFERROR('Cash Flow Data'!N29,0)</f>
        <v>293</v>
      </c>
    </row>
    <row r="100" spans="1:13" x14ac:dyDescent="0.3">
      <c r="B100" s="8" t="s">
        <v>116</v>
      </c>
      <c r="C100" s="20">
        <f>IFERROR(SUM(C93:C99),0)</f>
        <v>-2579</v>
      </c>
      <c r="D100" s="20">
        <f t="shared" ref="D100:L100" si="23">IFERROR(SUM(D93:D99),0)</f>
        <v>6640</v>
      </c>
      <c r="E100" s="20">
        <f t="shared" si="23"/>
        <v>-672</v>
      </c>
      <c r="F100" s="20">
        <f t="shared" si="23"/>
        <v>-1694</v>
      </c>
      <c r="G100" s="20">
        <f t="shared" si="23"/>
        <v>-37090</v>
      </c>
      <c r="H100" s="20">
        <f t="shared" si="23"/>
        <v>-23401</v>
      </c>
      <c r="I100" s="20">
        <f t="shared" si="23"/>
        <v>-6981</v>
      </c>
      <c r="J100" s="20">
        <f t="shared" si="23"/>
        <v>-11098</v>
      </c>
      <c r="K100" s="20">
        <f t="shared" si="23"/>
        <v>-7002</v>
      </c>
      <c r="L100" s="20">
        <f t="shared" si="23"/>
        <v>-21387</v>
      </c>
    </row>
    <row r="102" spans="1:13" x14ac:dyDescent="0.3">
      <c r="A102" t="s">
        <v>57</v>
      </c>
      <c r="B102" s="18" t="s">
        <v>110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1:13" x14ac:dyDescent="0.3">
      <c r="B103" s="1" t="s">
        <v>17</v>
      </c>
      <c r="C103" s="13">
        <f>IFERROR('Data Sheet'!B82,0)</f>
        <v>10824.36</v>
      </c>
      <c r="D103" s="13">
        <f>IFERROR('Data Sheet'!C82,0)</f>
        <v>8023.39</v>
      </c>
      <c r="E103" s="13">
        <f>IFERROR('Data Sheet'!D82,0)</f>
        <v>25335.95</v>
      </c>
      <c r="F103" s="13">
        <f>IFERROR('Data Sheet'!E82,0)</f>
        <v>20168.72</v>
      </c>
      <c r="G103" s="13">
        <f>IFERROR('Data Sheet'!F82,0)</f>
        <v>44326.68</v>
      </c>
      <c r="H103" s="13">
        <f>IFERROR('Data Sheet'!G82,0)</f>
        <v>44380.99</v>
      </c>
      <c r="I103" s="13">
        <f>IFERROR('Data Sheet'!H82,0)</f>
        <v>21683.08</v>
      </c>
      <c r="J103" s="13">
        <f>IFERROR('Data Sheet'!I82,0)</f>
        <v>20300.669999999998</v>
      </c>
      <c r="K103" s="13">
        <f>IFERROR('Data Sheet'!J82,0)</f>
        <v>23137.58</v>
      </c>
      <c r="L103" s="13">
        <f>IFERROR('Data Sheet'!K82,0)</f>
        <v>35064.46</v>
      </c>
    </row>
    <row r="104" spans="1:13" x14ac:dyDescent="0.3">
      <c r="B104" s="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3" x14ac:dyDescent="0.3">
      <c r="B105" s="1" t="s">
        <v>18</v>
      </c>
      <c r="C105" s="13">
        <f>IFERROR('Data Sheet'!B83,0)</f>
        <v>-9489.65</v>
      </c>
      <c r="D105" s="13">
        <f>IFERROR('Data Sheet'!C83,0)</f>
        <v>-11730.31</v>
      </c>
      <c r="E105" s="13">
        <f>IFERROR('Data Sheet'!D83,0)</f>
        <v>-29176.45</v>
      </c>
      <c r="F105" s="13">
        <f>IFERROR('Data Sheet'!E83,0)</f>
        <v>-14012.06</v>
      </c>
      <c r="G105" s="13">
        <f>IFERROR('Data Sheet'!F83,0)</f>
        <v>-9437.27</v>
      </c>
      <c r="H105" s="13">
        <f>IFERROR('Data Sheet'!G83,0)</f>
        <v>-10905.02</v>
      </c>
      <c r="I105" s="13">
        <f>IFERROR('Data Sheet'!H83,0)</f>
        <v>-18179.45</v>
      </c>
      <c r="J105" s="13">
        <f>IFERROR('Data Sheet'!I83,0)</f>
        <v>-14252.74</v>
      </c>
      <c r="K105" s="13">
        <f>IFERROR('Data Sheet'!J83,0)</f>
        <v>-13611.02</v>
      </c>
      <c r="L105" s="13">
        <f>IFERROR('Data Sheet'!K83,0)</f>
        <v>-14397.35</v>
      </c>
    </row>
    <row r="106" spans="1:13" x14ac:dyDescent="0.3">
      <c r="B106" s="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3" x14ac:dyDescent="0.3">
      <c r="B107" s="1" t="s">
        <v>19</v>
      </c>
      <c r="C107" s="13">
        <f>IFERROR('Data Sheet'!B84,0)</f>
        <v>-2579.36</v>
      </c>
      <c r="D107" s="13">
        <f>IFERROR('Data Sheet'!C84,0)</f>
        <v>6639.94</v>
      </c>
      <c r="E107" s="13">
        <f>IFERROR('Data Sheet'!D84,0)</f>
        <v>-672.7</v>
      </c>
      <c r="F107" s="13">
        <f>IFERROR('Data Sheet'!E84,0)</f>
        <v>-1694.62</v>
      </c>
      <c r="G107" s="13">
        <f>IFERROR('Data Sheet'!F84,0)</f>
        <v>-37089.67</v>
      </c>
      <c r="H107" s="13">
        <f>IFERROR('Data Sheet'!G84,0)</f>
        <v>-23401.09</v>
      </c>
      <c r="I107" s="13">
        <f>IFERROR('Data Sheet'!H84,0)</f>
        <v>-6980.69</v>
      </c>
      <c r="J107" s="13">
        <f>IFERROR('Data Sheet'!I84,0)</f>
        <v>-11096.99</v>
      </c>
      <c r="K107" s="13">
        <f>IFERROR('Data Sheet'!J84,0)</f>
        <v>-7002.44</v>
      </c>
      <c r="L107" s="13">
        <f>IFERROR('Data Sheet'!K84,0)</f>
        <v>-21387.119999999999</v>
      </c>
    </row>
    <row r="108" spans="1:13" x14ac:dyDescent="0.3">
      <c r="B108" s="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3" x14ac:dyDescent="0.3">
      <c r="B109" s="1" t="s">
        <v>20</v>
      </c>
      <c r="C109" s="20">
        <f>IFERROR(SUM(C103,C105,C107),0)</f>
        <v>-1244.6499999999992</v>
      </c>
      <c r="D109" s="20">
        <f t="shared" ref="D109:L109" si="24">IFERROR(SUM(D103,D105,D107),0)</f>
        <v>2933.0200000000004</v>
      </c>
      <c r="E109" s="20">
        <f t="shared" si="24"/>
        <v>-4513.2</v>
      </c>
      <c r="F109" s="20">
        <f t="shared" si="24"/>
        <v>4462.0400000000018</v>
      </c>
      <c r="G109" s="20">
        <f t="shared" si="24"/>
        <v>-2200.2599999999948</v>
      </c>
      <c r="H109" s="20">
        <f t="shared" si="24"/>
        <v>10074.880000000001</v>
      </c>
      <c r="I109" s="20">
        <f t="shared" si="24"/>
        <v>-3477.0599999999986</v>
      </c>
      <c r="J109" s="20">
        <f t="shared" si="24"/>
        <v>-5049.0600000000013</v>
      </c>
      <c r="K109" s="20">
        <f t="shared" si="24"/>
        <v>2524.1200000000017</v>
      </c>
      <c r="L109" s="20">
        <f t="shared" si="24"/>
        <v>-720.0099999999984</v>
      </c>
    </row>
  </sheetData>
  <mergeCells count="1">
    <mergeCell ref="B2:M2"/>
  </mergeCells>
  <pageMargins left="0.7" right="0.7" top="0.75" bottom="0.75" header="0.3" footer="0.3"/>
  <pageSetup paperSize="3" orientation="landscape" r:id="rId1"/>
  <ignoredErrors>
    <ignoredError sqref="M5 M8 C14:L14 M20 M23 M2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423B-ABD8-4E76-82FB-5F79EB932B47}">
  <dimension ref="A2:O40"/>
  <sheetViews>
    <sheetView showGridLines="0" zoomScale="84" workbookViewId="0">
      <pane ySplit="3" topLeftCell="A4" activePane="bottomLeft" state="frozen"/>
      <selection pane="bottomLeft" activeCell="Q19" sqref="Q19"/>
    </sheetView>
  </sheetViews>
  <sheetFormatPr defaultRowHeight="14.4" x14ac:dyDescent="0.3"/>
  <cols>
    <col min="1" max="1" width="2.33203125" customWidth="1"/>
    <col min="2" max="2" width="24.77734375" bestFit="1" customWidth="1"/>
    <col min="3" max="3" width="7.109375" bestFit="1" customWidth="1"/>
    <col min="4" max="4" width="9" bestFit="1" customWidth="1"/>
    <col min="5" max="5" width="7.109375" bestFit="1" customWidth="1"/>
    <col min="6" max="6" width="7.6640625" bestFit="1" customWidth="1"/>
    <col min="7" max="8" width="8" bestFit="1" customWidth="1"/>
    <col min="9" max="10" width="7.6640625" bestFit="1" customWidth="1"/>
    <col min="11" max="12" width="8" bestFit="1" customWidth="1"/>
    <col min="13" max="13" width="16.5546875" customWidth="1"/>
    <col min="14" max="14" width="8" bestFit="1" customWidth="1"/>
    <col min="15" max="15" width="7.44140625" bestFit="1" customWidth="1"/>
  </cols>
  <sheetData>
    <row r="2" spans="1:15" x14ac:dyDescent="0.3">
      <c r="B2" s="176" t="str">
        <f>"Ratio Analysis of - "&amp;'Data Sheet'!B1</f>
        <v>Ratio Analysis of - TATA STEEL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</row>
    <row r="3" spans="1:15" x14ac:dyDescent="0.3">
      <c r="A3" t="s">
        <v>57</v>
      </c>
      <c r="B3" s="39" t="s">
        <v>54</v>
      </c>
      <c r="C3" s="40">
        <f>'Data Sheet'!B16</f>
        <v>42825</v>
      </c>
      <c r="D3" s="40">
        <f>'Data Sheet'!C16</f>
        <v>43190</v>
      </c>
      <c r="E3" s="40">
        <f>'Data Sheet'!D16</f>
        <v>43555</v>
      </c>
      <c r="F3" s="40">
        <f>'Data Sheet'!E16</f>
        <v>43921</v>
      </c>
      <c r="G3" s="40">
        <f>'Data Sheet'!F16</f>
        <v>44286</v>
      </c>
      <c r="H3" s="40">
        <f>'Data Sheet'!G16</f>
        <v>44651</v>
      </c>
      <c r="I3" s="40">
        <f>'Data Sheet'!H16</f>
        <v>45016</v>
      </c>
      <c r="J3" s="40">
        <f>'Data Sheet'!I16</f>
        <v>45382</v>
      </c>
      <c r="K3" s="40">
        <f>'Data Sheet'!J16</f>
        <v>45747</v>
      </c>
      <c r="L3" s="40">
        <f>'Data Sheet'!K16</f>
        <v>46112</v>
      </c>
      <c r="M3" s="41" t="s">
        <v>148</v>
      </c>
      <c r="N3" s="40" t="s">
        <v>146</v>
      </c>
      <c r="O3" s="40" t="s">
        <v>147</v>
      </c>
    </row>
    <row r="5" spans="1:15" x14ac:dyDescent="0.3">
      <c r="B5" s="29" t="s">
        <v>117</v>
      </c>
      <c r="C5" s="29"/>
      <c r="D5" s="30">
        <f>IFERROR('HistoricalFS '!D6,0)</f>
        <v>9.7504065470685575E-2</v>
      </c>
      <c r="E5" s="30">
        <f>IFERROR('HistoricalFS '!E6,0)</f>
        <v>0.27927123506895413</v>
      </c>
      <c r="F5" s="30">
        <f>IFERROR('HistoricalFS '!F6,0)</f>
        <v>-0.11322670361495935</v>
      </c>
      <c r="G5" s="30">
        <f>IFERROR('HistoricalFS '!G6,0)</f>
        <v>0.11916141604022124</v>
      </c>
      <c r="H5" s="30">
        <f>IFERROR('HistoricalFS '!H6,0)</f>
        <v>0.55906968035000593</v>
      </c>
      <c r="I5" s="30">
        <f>IFERROR('HistoricalFS '!I6,0)</f>
        <v>-2.4859897662383723E-3</v>
      </c>
      <c r="J5" s="30">
        <f>IFERROR('HistoricalFS '!J6,0)</f>
        <v>-5.8277186087402622E-2</v>
      </c>
      <c r="K5" s="30">
        <f>IFERROR('HistoricalFS '!K6,0)</f>
        <v>-4.6377073028245563E-2</v>
      </c>
      <c r="L5" s="30">
        <f>IFERROR('HistoricalFS '!L6,0)</f>
        <v>6.2218696033096599E-2</v>
      </c>
      <c r="M5" s="29"/>
      <c r="N5" s="30">
        <f>IFERROR(AVERAGE(D5:L5),0)</f>
        <v>9.9650904496235287E-2</v>
      </c>
      <c r="O5" s="30">
        <f>IFERROR(MEDIAN(D5:L5),0)</f>
        <v>6.2218696033096599E-2</v>
      </c>
    </row>
    <row r="6" spans="1:15" x14ac:dyDescent="0.3">
      <c r="B6" t="s">
        <v>118</v>
      </c>
      <c r="D6" s="26">
        <f>IFERROR('HistoricalFS '!D17/'HistoricalFS '!C17-1,0)</f>
        <v>0.6306903039723426</v>
      </c>
      <c r="E6" s="26">
        <f>IFERROR('HistoricalFS '!E17/'HistoricalFS '!D17-1,0)</f>
        <v>0.36788877437283007</v>
      </c>
      <c r="F6" s="26">
        <f>IFERROR('HistoricalFS '!F17/'HistoricalFS '!E17-1,0)</f>
        <v>-0.40436151990127622</v>
      </c>
      <c r="G6" s="26">
        <f>IFERROR('HistoricalFS '!G17/'HistoricalFS '!F17-1,0)</f>
        <v>0.74678779091407677</v>
      </c>
      <c r="H6" s="26">
        <f>IFERROR('HistoricalFS '!H17/'HistoricalFS '!G17-1,0)</f>
        <v>1.0813469987470614</v>
      </c>
      <c r="I6" s="26">
        <f>IFERROR('HistoricalFS '!I17/'HistoricalFS '!H17-1,0)</f>
        <v>-0.49125554516895964</v>
      </c>
      <c r="J6" s="26">
        <f>IFERROR('HistoricalFS '!J17/'HistoricalFS '!I17-1,0)</f>
        <v>-0.31121331906715044</v>
      </c>
      <c r="K6" s="26">
        <f>IFERROR('HistoricalFS '!K17/'HistoricalFS '!J17-1,0)</f>
        <v>0.13711528987878352</v>
      </c>
      <c r="L6" s="26">
        <f>IFERROR('HistoricalFS '!L17/'HistoricalFS '!K17-1,0)</f>
        <v>0.35788714328348248</v>
      </c>
      <c r="N6" s="26">
        <f t="shared" ref="N6:N9" si="0">IFERROR(AVERAGE(D6:L6),0)</f>
        <v>0.23498732411457673</v>
      </c>
      <c r="O6" s="26">
        <f t="shared" ref="O6:O9" si="1">IFERROR(MEDIAN(D6:L6),0)</f>
        <v>0.35788714328348248</v>
      </c>
    </row>
    <row r="7" spans="1:15" x14ac:dyDescent="0.3">
      <c r="B7" t="s">
        <v>119</v>
      </c>
      <c r="D7" s="26">
        <f>IFERROR('HistoricalFS '!D26/'HistoricalFS '!C26-1,0)</f>
        <v>3.2678910174897329</v>
      </c>
      <c r="E7" s="26">
        <f>IFERROR('HistoricalFS '!E26/'HistoricalFS '!D26-1,0)</f>
        <v>0.39851906122548608</v>
      </c>
      <c r="F7" s="26">
        <f>IFERROR('HistoricalFS '!F26/'HistoricalFS '!E26-1,0)</f>
        <v>-0.89600168758805487</v>
      </c>
      <c r="G7" s="26">
        <f>IFERROR('HistoricalFS '!G26/'HistoricalFS '!F26-1,0)</f>
        <v>8.1773694143880462</v>
      </c>
      <c r="H7" s="26">
        <f>IFERROR('HistoricalFS '!H26/'HistoricalFS '!G26-1,0)</f>
        <v>2.5807378707851596</v>
      </c>
      <c r="I7" s="26">
        <f>IFERROR('HistoricalFS '!I26/'HistoricalFS '!H26-1,0)</f>
        <v>-0.65936393246411762</v>
      </c>
      <c r="J7" s="26">
        <f>IFERROR('HistoricalFS '!J26/'HistoricalFS '!I26-1,0)</f>
        <v>-0.7085014874362936</v>
      </c>
      <c r="K7" s="26">
        <f>IFERROR('HistoricalFS '!K26/'HistoricalFS '!J26-1,0)</f>
        <v>0.55122998482973862</v>
      </c>
      <c r="L7" s="26">
        <f>IFERROR('HistoricalFS '!L26/'HistoricalFS '!K26-1,0)</f>
        <v>1.0210358842754372</v>
      </c>
      <c r="N7" s="26">
        <f t="shared" si="0"/>
        <v>1.5258795695005705</v>
      </c>
      <c r="O7" s="26">
        <f t="shared" si="1"/>
        <v>0.55122998482973862</v>
      </c>
    </row>
    <row r="8" spans="1:15" x14ac:dyDescent="0.3">
      <c r="B8" t="s">
        <v>120</v>
      </c>
      <c r="D8" s="26">
        <f>IFERROR('HistoricalFS '!D32/-'HistoricalFS '!C32-1,0)</f>
        <v>17.037263479681705</v>
      </c>
      <c r="E8" s="26">
        <f>IFERROR('HistoricalFS '!E32/'HistoricalFS '!D32-1,0)</f>
        <v>0.11008091262663555</v>
      </c>
      <c r="F8" s="26">
        <f>IFERROR('HistoricalFS '!F32/'HistoricalFS '!E32-1,0)</f>
        <v>-0.46599700441966474</v>
      </c>
      <c r="G8" s="26">
        <f>IFERROR('HistoricalFS '!G32/'HistoricalFS '!F32-1,0)</f>
        <v>0.97423150485053456</v>
      </c>
      <c r="H8" s="26">
        <f>IFERROR('HistoricalFS '!H32/'HistoricalFS '!G32-1,0)</f>
        <v>4.0498476281552795</v>
      </c>
      <c r="I8" s="26">
        <f>IFERROR('HistoricalFS '!I32/'HistoricalFS '!H32-1,0)</f>
        <v>-0.83914467804534676</v>
      </c>
      <c r="J8" s="26">
        <f>IFERROR('HistoricalFS '!J32/'HistoricalFS '!I32-1,0)</f>
        <v>-0.83161120665673827</v>
      </c>
      <c r="K8" s="26">
        <f>IFERROR('HistoricalFS '!K32/'HistoricalFS '!J32-1,0)</f>
        <v>1.0966028367499554</v>
      </c>
      <c r="L8" s="26">
        <f>IFERROR('HistoricalFS '!L32/'HistoricalFS '!K32-1,0)</f>
        <v>3.4177825761401621</v>
      </c>
      <c r="N8" s="26">
        <f t="shared" si="0"/>
        <v>2.7276728943425024</v>
      </c>
      <c r="O8" s="26">
        <f t="shared" si="1"/>
        <v>0.97423150485053456</v>
      </c>
    </row>
    <row r="9" spans="1:15" x14ac:dyDescent="0.3">
      <c r="B9" s="31" t="s">
        <v>121</v>
      </c>
      <c r="C9" s="31"/>
      <c r="D9" s="32">
        <f>IFERROR('HistoricalFS '!D40/'HistoricalFS '!C40-1,0)</f>
        <v>0.18021550901743044</v>
      </c>
      <c r="E9" s="32">
        <f>IFERROR('HistoricalFS '!E40/'HistoricalFS '!D40-1,0)</f>
        <v>0.29997535883641424</v>
      </c>
      <c r="F9" s="32">
        <f>IFERROR('HistoricalFS '!F40/'HistoricalFS '!E40-1,0)</f>
        <v>-0.23076147861490703</v>
      </c>
      <c r="G9" s="32">
        <f>IFERROR('HistoricalFS '!G40/'HistoricalFS '!F40-1,0)</f>
        <v>1.4617851486157654</v>
      </c>
      <c r="H9" s="32">
        <f>IFERROR('HistoricalFS '!H40/'HistoricalFS '!G40-1,0)</f>
        <v>1.0381154123780019</v>
      </c>
      <c r="I9" s="32">
        <f>IFERROR('HistoricalFS '!I40/'HistoricalFS '!H40-1,0)</f>
        <v>-0.29459178519120255</v>
      </c>
      <c r="J9" s="32">
        <f>IFERROR('HistoricalFS '!J40/'HistoricalFS '!I40-1,0)</f>
        <v>1.5657976727423417E-5</v>
      </c>
      <c r="K9" s="32">
        <f>IFERROR('HistoricalFS '!K40/'HistoricalFS '!J40-1,0)</f>
        <v>0</v>
      </c>
      <c r="L9" s="32">
        <f>IFERROR('HistoricalFS '!L40/'HistoricalFS '!K40-1,0)</f>
        <v>0.11111210079318079</v>
      </c>
      <c r="M9" s="31"/>
      <c r="N9" s="32">
        <f t="shared" si="0"/>
        <v>0.28509621375682337</v>
      </c>
      <c r="O9" s="32">
        <f t="shared" si="1"/>
        <v>0.11111210079318079</v>
      </c>
    </row>
    <row r="10" spans="1:15" x14ac:dyDescent="0.3">
      <c r="N10" s="26"/>
      <c r="O10" s="26"/>
    </row>
    <row r="11" spans="1:15" x14ac:dyDescent="0.3">
      <c r="B11" s="29" t="s">
        <v>122</v>
      </c>
      <c r="C11" s="30">
        <f>IFERROR('HistoricalFS '!C12,0)</f>
        <v>0.30919420598966585</v>
      </c>
      <c r="D11" s="30">
        <f>IFERROR('HistoricalFS '!D12,0)</f>
        <v>0.31269217690648704</v>
      </c>
      <c r="E11" s="30">
        <f>IFERROR('HistoricalFS '!E12,0)</f>
        <v>0.33030553439836208</v>
      </c>
      <c r="F11" s="30">
        <f>IFERROR('HistoricalFS '!F12,0)</f>
        <v>0.26646118327109114</v>
      </c>
      <c r="G11" s="30">
        <f>IFERROR('HistoricalFS '!G12,0)</f>
        <v>0.34188745467396564</v>
      </c>
      <c r="H11" s="30">
        <f>IFERROR('HistoricalFS '!H12,0)</f>
        <v>0.41135563791268842</v>
      </c>
      <c r="I11" s="30">
        <f>IFERROR('HistoricalFS '!I12,0)</f>
        <v>0.26719790933891058</v>
      </c>
      <c r="J11" s="30">
        <f>IFERROR('HistoricalFS '!J12,0)</f>
        <v>0.20079322503505903</v>
      </c>
      <c r="K11" s="30">
        <f>IFERROR('HistoricalFS '!K12,0)</f>
        <v>0.21427190526913958</v>
      </c>
      <c r="L11" s="30">
        <f>IFERROR('HistoricalFS '!L12,0)</f>
        <v>0.26149812910264386</v>
      </c>
      <c r="M11" s="29"/>
      <c r="N11" s="30">
        <f>IFERROR(AVERAGE(C11:L11),0)</f>
        <v>0.29156573618980131</v>
      </c>
      <c r="O11" s="30">
        <f>IFERROR(MEDIAN(C11:L11),0)</f>
        <v>0.28819605766428824</v>
      </c>
    </row>
    <row r="12" spans="1:15" x14ac:dyDescent="0.3">
      <c r="B12" t="s">
        <v>66</v>
      </c>
      <c r="C12" s="26">
        <f>IFERROR('HistoricalFS '!C18,0)</f>
        <v>0.11704094286506557</v>
      </c>
      <c r="D12" s="26">
        <f>IFERROR('HistoricalFS '!D18,0)</f>
        <v>0.17390143390128623</v>
      </c>
      <c r="E12" s="26">
        <f>IFERROR('HistoricalFS '!E18,0)</f>
        <v>0.18594791531296043</v>
      </c>
      <c r="F12" s="26">
        <f>IFERROR('HistoricalFS '!F18,0)</f>
        <v>0.12489971687921292</v>
      </c>
      <c r="G12" s="26">
        <f>IFERROR('HistoricalFS '!G18,0)</f>
        <v>0.19494355095368399</v>
      </c>
      <c r="H12" s="26">
        <f>IFERROR('HistoricalFS '!H18,0)</f>
        <v>0.26024826203499546</v>
      </c>
      <c r="I12" s="26">
        <f>IFERROR('HistoricalFS '!I18,0)</f>
        <v>0.13272982517678361</v>
      </c>
      <c r="J12" s="26">
        <f>IFERROR('HistoricalFS '!J18,0)</f>
        <v>9.708009022790777E-2</v>
      </c>
      <c r="K12" s="26">
        <f>IFERROR('HistoricalFS '!K18,0)</f>
        <v>0.11575985834517957</v>
      </c>
      <c r="L12" s="26">
        <f>IFERROR('HistoricalFS '!L18,0)</f>
        <v>0.14798160109802735</v>
      </c>
      <c r="N12" s="26">
        <f t="shared" ref="N12:N40" si="2">IFERROR(AVERAGE(C12:L12),0)</f>
        <v>0.15505331967951028</v>
      </c>
      <c r="O12" s="26">
        <f t="shared" ref="O12:O40" si="3">IFERROR(MEDIAN(C12:L12),0)</f>
        <v>0.14035571313740547</v>
      </c>
    </row>
    <row r="13" spans="1:15" x14ac:dyDescent="0.3">
      <c r="B13" t="s">
        <v>123</v>
      </c>
      <c r="C13" s="26">
        <f>IFERROR(('HistoricalFS '!C17-'HistoricalFS '!C23)/'HistoricalFS '!C5,0)</f>
        <v>6.6525276800182942E-2</v>
      </c>
      <c r="D13" s="26">
        <f>IFERROR(('HistoricalFS '!D17-'HistoricalFS '!D23)/'HistoricalFS '!D5,0)</f>
        <v>0.12731528116195928</v>
      </c>
      <c r="E13" s="26">
        <f>IFERROR(('HistoricalFS '!E17-'HistoricalFS '!E23)/'HistoricalFS '!E5,0)</f>
        <v>0.13938308350931911</v>
      </c>
      <c r="F13" s="26">
        <f>IFERROR(('HistoricalFS '!F17-'HistoricalFS '!F23)/'HistoricalFS '!F5,0)</f>
        <v>6.4529725179368877E-2</v>
      </c>
      <c r="G13" s="26">
        <f>IFERROR(('HistoricalFS '!G17-'HistoricalFS '!G23)/'HistoricalFS '!G5,0)</f>
        <v>0.13593413489743561</v>
      </c>
      <c r="H13" s="26">
        <f>IFERROR(('HistoricalFS '!H17-'HistoricalFS '!H23)/'HistoricalFS '!H5,0)</f>
        <v>0.22294337204049353</v>
      </c>
      <c r="I13" s="26">
        <f>IFERROR(('HistoricalFS '!I17-'HistoricalFS '!I23)/'HistoricalFS '!I5,0)</f>
        <v>9.4369041081896476E-2</v>
      </c>
      <c r="J13" s="26">
        <f>IFERROR(('HistoricalFS '!J17-'HistoricalFS '!J23)/'HistoricalFS '!J5,0)</f>
        <v>5.3958711490182137E-2</v>
      </c>
      <c r="K13" s="26">
        <f>IFERROR(('HistoricalFS '!K17-'HistoricalFS '!K23)/'HistoricalFS '!K5,0)</f>
        <v>6.8074261616195356E-2</v>
      </c>
      <c r="L13" s="26">
        <f>IFERROR(('HistoricalFS '!L17-'HistoricalFS '!L23)/'HistoricalFS '!L5,0)</f>
        <v>9.648460320959848E-2</v>
      </c>
      <c r="N13" s="26">
        <f t="shared" si="2"/>
        <v>0.10695174909866319</v>
      </c>
      <c r="O13" s="26">
        <f t="shared" si="3"/>
        <v>9.5426822145747478E-2</v>
      </c>
    </row>
    <row r="14" spans="1:15" x14ac:dyDescent="0.3">
      <c r="B14" t="s">
        <v>124</v>
      </c>
      <c r="C14" s="26">
        <f>IFERROR('HistoricalFS '!C27,0)</f>
        <v>2.1358525271101145E-2</v>
      </c>
      <c r="D14" s="26">
        <f>IFERROR('HistoricalFS '!D27,0)</f>
        <v>8.3057421853162894E-2</v>
      </c>
      <c r="E14" s="26">
        <f>IFERROR('HistoricalFS '!E27,0)</f>
        <v>9.0799655658351089E-2</v>
      </c>
      <c r="F14" s="26">
        <f>IFERROR('HistoricalFS '!F27,0)</f>
        <v>1.0648731749759463E-2</v>
      </c>
      <c r="G14" s="26">
        <f>IFERROR('HistoricalFS '!G27,0)</f>
        <v>8.7321939142649282E-2</v>
      </c>
      <c r="H14" s="26">
        <f>IFERROR('HistoricalFS '!H27,0)</f>
        <v>0.20055355984364109</v>
      </c>
      <c r="I14" s="26">
        <f>IFERROR('HistoricalFS '!I27,0)</f>
        <v>6.8486031528971453E-2</v>
      </c>
      <c r="J14" s="26">
        <f>IFERROR('HistoricalFS '!J27,0)</f>
        <v>2.11989940427833E-2</v>
      </c>
      <c r="K14" s="26">
        <f>IFERROR('HistoricalFS '!K27,0)</f>
        <v>3.4483771601232137E-2</v>
      </c>
      <c r="L14" s="26">
        <f>IFERROR('HistoricalFS '!L27,0)</f>
        <v>6.5610726012938589E-2</v>
      </c>
      <c r="N14" s="26">
        <f t="shared" si="2"/>
        <v>6.8351935670459038E-2</v>
      </c>
      <c r="O14" s="26">
        <f t="shared" si="3"/>
        <v>6.7048378770955014E-2</v>
      </c>
    </row>
    <row r="15" spans="1:15" x14ac:dyDescent="0.3">
      <c r="B15" s="31" t="s">
        <v>125</v>
      </c>
      <c r="C15" s="32">
        <f>IFERROR('HistoricalFS '!C33,0)</f>
        <v>-3.3790023136361625E-3</v>
      </c>
      <c r="D15" s="32">
        <f>IFERROR('HistoricalFS '!D33,0)</f>
        <v>5.5533238506383892E-2</v>
      </c>
      <c r="E15" s="32">
        <f>IFERROR('HistoricalFS '!E33,0)</f>
        <v>4.8188676796876807E-2</v>
      </c>
      <c r="F15" s="32">
        <f>IFERROR('HistoricalFS '!F33,0)</f>
        <v>2.9018575398566667E-2</v>
      </c>
      <c r="G15" s="32">
        <f>IFERROR('HistoricalFS '!G33,0)</f>
        <v>5.1189564755038039E-2</v>
      </c>
      <c r="H15" s="32">
        <f>IFERROR('HistoricalFS '!H33,0)</f>
        <v>0.16580368755968475</v>
      </c>
      <c r="I15" s="32">
        <f>IFERROR('HistoricalFS '!I33,0)</f>
        <v>2.6736873136680824E-2</v>
      </c>
      <c r="J15" s="32">
        <f>IFERROR('HistoricalFS '!J33,0)</f>
        <v>4.7808014616872278E-3</v>
      </c>
      <c r="K15" s="32">
        <f>IFERROR('HistoricalFS '!K33,0)</f>
        <v>1.0510907008435067E-2</v>
      </c>
      <c r="L15" s="32">
        <f>IFERROR('HistoricalFS '!L33,0)</f>
        <v>4.3715010868013507E-2</v>
      </c>
      <c r="M15" s="31"/>
      <c r="N15" s="32">
        <f t="shared" si="2"/>
        <v>4.3209833317773054E-2</v>
      </c>
      <c r="O15" s="32">
        <f t="shared" si="3"/>
        <v>3.6366793133290089E-2</v>
      </c>
    </row>
    <row r="16" spans="1:15" x14ac:dyDescent="0.3">
      <c r="N16" s="26"/>
      <c r="O16" s="26"/>
    </row>
    <row r="17" spans="2:15" x14ac:dyDescent="0.3">
      <c r="B17" s="29" t="s">
        <v>126</v>
      </c>
      <c r="C17" s="30">
        <f>IFERROR('HistoricalFS '!C15,0)</f>
        <v>0.19215326312460029</v>
      </c>
      <c r="D17" s="30">
        <f>IFERROR('HistoricalFS '!D15,0)</f>
        <v>0.13879074300520078</v>
      </c>
      <c r="E17" s="30">
        <f>IFERROR('HistoricalFS '!E15,0)</f>
        <v>0.14435761908540165</v>
      </c>
      <c r="F17" s="30">
        <f>IFERROR('HistoricalFS '!F15,0)</f>
        <v>0.14156146639187825</v>
      </c>
      <c r="G17" s="30">
        <f>IFERROR('HistoricalFS '!G15,0)</f>
        <v>0.14694390372028165</v>
      </c>
      <c r="H17" s="30">
        <f>IFERROR('HistoricalFS '!H15,0)</f>
        <v>0.15110737587769296</v>
      </c>
      <c r="I17" s="30">
        <f>IFERROR('HistoricalFS '!I15,0)</f>
        <v>0.13446808416212699</v>
      </c>
      <c r="J17" s="30">
        <f>IFERROR('HistoricalFS '!J15,0)</f>
        <v>0.10371313480715125</v>
      </c>
      <c r="K17" s="30">
        <f>IFERROR('HistoricalFS '!K15,0)</f>
        <v>9.8512046923960012E-2</v>
      </c>
      <c r="L17" s="30">
        <f>IFERROR('HistoricalFS '!L15,0)</f>
        <v>0.11351652800461653</v>
      </c>
      <c r="M17" s="29"/>
      <c r="N17" s="30">
        <f t="shared" si="2"/>
        <v>0.13651241651029103</v>
      </c>
      <c r="O17" s="30">
        <f t="shared" si="3"/>
        <v>0.14017610469853953</v>
      </c>
    </row>
    <row r="18" spans="2:15" x14ac:dyDescent="0.3">
      <c r="B18" t="s">
        <v>127</v>
      </c>
      <c r="C18" s="26">
        <f>IFERROR('HistoricalFS '!C24,0)</f>
        <v>5.0515666064882614E-2</v>
      </c>
      <c r="D18" s="26">
        <f>IFERROR('HistoricalFS '!D24,0)</f>
        <v>4.6586152739326953E-2</v>
      </c>
      <c r="E18" s="26">
        <f>IFERROR('HistoricalFS '!E24,0)</f>
        <v>4.6564831803641286E-2</v>
      </c>
      <c r="F18" s="26">
        <f>IFERROR('HistoricalFS '!F24,0)</f>
        <v>6.0369991699844049E-2</v>
      </c>
      <c r="G18" s="26">
        <f>IFERROR('HistoricalFS '!G24,0)</f>
        <v>5.9009416056248376E-2</v>
      </c>
      <c r="H18" s="26">
        <f>IFERROR('HistoricalFS '!H24,0)</f>
        <v>3.7304889994501947E-2</v>
      </c>
      <c r="I18" s="26">
        <f>IFERROR('HistoricalFS '!I24,0)</f>
        <v>3.8360784094887142E-2</v>
      </c>
      <c r="J18" s="26">
        <f>IFERROR('HistoricalFS '!J24,0)</f>
        <v>4.3121378737725639E-2</v>
      </c>
      <c r="K18" s="26">
        <f>IFERROR('HistoricalFS '!K24,0)</f>
        <v>4.768559672898421E-2</v>
      </c>
      <c r="L18" s="26">
        <f>IFERROR('HistoricalFS '!L24,0)</f>
        <v>5.1496997888428854E-2</v>
      </c>
      <c r="N18" s="26">
        <f t="shared" si="2"/>
        <v>4.810157058084711E-2</v>
      </c>
      <c r="O18" s="26">
        <f t="shared" si="3"/>
        <v>4.7135874734155578E-2</v>
      </c>
    </row>
    <row r="19" spans="2:15" x14ac:dyDescent="0.3">
      <c r="B19" s="31" t="s">
        <v>128</v>
      </c>
      <c r="C19" s="33">
        <f>C13</f>
        <v>6.6525276800182942E-2</v>
      </c>
      <c r="D19" s="33">
        <f t="shared" ref="D19:L19" si="4">D13</f>
        <v>0.12731528116195928</v>
      </c>
      <c r="E19" s="33">
        <f t="shared" si="4"/>
        <v>0.13938308350931911</v>
      </c>
      <c r="F19" s="33">
        <f t="shared" si="4"/>
        <v>6.4529725179368877E-2</v>
      </c>
      <c r="G19" s="33">
        <f t="shared" si="4"/>
        <v>0.13593413489743561</v>
      </c>
      <c r="H19" s="33">
        <f t="shared" si="4"/>
        <v>0.22294337204049353</v>
      </c>
      <c r="I19" s="33">
        <f t="shared" si="4"/>
        <v>9.4369041081896476E-2</v>
      </c>
      <c r="J19" s="33">
        <f t="shared" si="4"/>
        <v>5.3958711490182137E-2</v>
      </c>
      <c r="K19" s="33">
        <f t="shared" si="4"/>
        <v>6.8074261616195356E-2</v>
      </c>
      <c r="L19" s="33">
        <f t="shared" si="4"/>
        <v>9.648460320959848E-2</v>
      </c>
      <c r="M19" s="31"/>
      <c r="N19" s="32">
        <f t="shared" si="2"/>
        <v>0.10695174909866319</v>
      </c>
      <c r="O19" s="32">
        <f t="shared" si="3"/>
        <v>9.5426822145747478E-2</v>
      </c>
    </row>
    <row r="20" spans="2:15" x14ac:dyDescent="0.3">
      <c r="N20" s="26"/>
      <c r="O20" s="26"/>
    </row>
    <row r="21" spans="2:15" x14ac:dyDescent="0.3">
      <c r="B21" s="29" t="s">
        <v>129</v>
      </c>
      <c r="C21" s="34">
        <f>IFERROR(('HistoricalFS '!C17-'HistoricalFS '!C23)/SUM('HistoricalFS '!C48:C50),0)</f>
        <v>6.1826652656239184E-2</v>
      </c>
      <c r="D21" s="34">
        <f>IFERROR(('HistoricalFS '!D17-'HistoricalFS '!D23)/SUM('HistoricalFS '!D48:D50),0)</f>
        <v>0.10254691500661331</v>
      </c>
      <c r="E21" s="34">
        <f>IFERROR(('HistoricalFS '!E17-'HistoricalFS '!E23)/SUM('HistoricalFS '!E48:E50),0)</f>
        <v>0.12946990508497344</v>
      </c>
      <c r="F21" s="34">
        <f>IFERROR(('HistoricalFS '!F17-'HistoricalFS '!F23)/SUM('HistoricalFS '!F48:F50),0)</f>
        <v>4.7509827307936389E-2</v>
      </c>
      <c r="G21" s="34">
        <f>IFERROR(('HistoricalFS '!G17-'HistoricalFS '!G23)/SUM('HistoricalFS '!G48:G50),0)</f>
        <v>0.13070294010981179</v>
      </c>
      <c r="H21" s="34">
        <f>IFERROR(('HistoricalFS '!H17-'HistoricalFS '!H23)/SUM('HistoricalFS '!H48:H50),0)</f>
        <v>0.28625170186857263</v>
      </c>
      <c r="I21" s="34">
        <f>IFERROR(('HistoricalFS '!I17-'HistoricalFS '!I23)/SUM('HistoricalFS '!I48:I50),0)</f>
        <v>0.12217019111302752</v>
      </c>
      <c r="J21" s="34">
        <f>IFERROR(('HistoricalFS '!J17-'HistoricalFS '!J23)/SUM('HistoricalFS '!J48:J50),0)</f>
        <v>6.9036993961741858E-2</v>
      </c>
      <c r="K21" s="34">
        <f>IFERROR(('HistoricalFS '!K17-'HistoricalFS '!K23)/SUM('HistoricalFS '!K48:K50),0)</f>
        <v>7.9997126428746679E-2</v>
      </c>
      <c r="L21" s="34">
        <f>IFERROR(('HistoricalFS '!L17-'HistoricalFS '!L23)/SUM('HistoricalFS '!L48:L50),0)</f>
        <v>0.11512725332952829</v>
      </c>
      <c r="M21" s="29"/>
      <c r="N21" s="30">
        <f t="shared" si="2"/>
        <v>0.11446395068671911</v>
      </c>
      <c r="O21" s="30">
        <f t="shared" si="3"/>
        <v>0.10883708416807081</v>
      </c>
    </row>
    <row r="22" spans="2:15" x14ac:dyDescent="0.3">
      <c r="B22" t="s">
        <v>130</v>
      </c>
      <c r="C22" s="27">
        <f>IFERROR('HistoricalFS '!C43,0)</f>
        <v>0</v>
      </c>
      <c r="D22" s="27">
        <f>IFERROR('HistoricalFS '!D43,0)</f>
        <v>0.83271774671922538</v>
      </c>
      <c r="E22" s="27">
        <f>IFERROR('HistoricalFS '!E43,0)</f>
        <v>0.80410010187078995</v>
      </c>
      <c r="F22" s="27">
        <f>IFERROR('HistoricalFS '!F43,0)</f>
        <v>0.71780355311933164</v>
      </c>
      <c r="G22" s="27">
        <f>IFERROR('HistoricalFS '!G43,0)</f>
        <v>0.62621519823321026</v>
      </c>
      <c r="H22" s="27">
        <f>IFERROR('HistoricalFS '!H43,0)</f>
        <v>0.84602538534012806</v>
      </c>
      <c r="I22" s="27">
        <f>IFERROR('HistoricalFS '!I43,0)</f>
        <v>0.3242962027145222</v>
      </c>
      <c r="J22" s="27">
        <f>IFERROR('HistoricalFS '!J43,0)</f>
        <v>0</v>
      </c>
      <c r="K22" s="27">
        <f>IFERROR('HistoricalFS '!K43,0)</f>
        <v>0</v>
      </c>
      <c r="L22" s="27">
        <f>IFERROR('HistoricalFS '!L43,0)</f>
        <v>0.50830114308238095</v>
      </c>
      <c r="N22" s="26">
        <f t="shared" si="2"/>
        <v>0.46594593310795879</v>
      </c>
      <c r="O22" s="26">
        <f t="shared" si="3"/>
        <v>0.5672581706577956</v>
      </c>
    </row>
    <row r="23" spans="2:15" x14ac:dyDescent="0.3">
      <c r="B23" t="s">
        <v>131</v>
      </c>
      <c r="C23" s="27">
        <f>IFERROR('HistoricalFS '!C32/SUM('HistoricalFS '!C48:C49),0)</f>
        <v>-1.0033496107280595E-2</v>
      </c>
      <c r="D23" s="27">
        <f>IFERROR('HistoricalFS '!D32/SUM('HistoricalFS '!D48:D49),0)</f>
        <v>0.1124420943962786</v>
      </c>
      <c r="E23" s="27">
        <f>IFERROR('HistoricalFS '!E32/SUM('HistoricalFS '!E48:E49),0)</f>
        <v>0.11023360437158725</v>
      </c>
      <c r="F23" s="27">
        <f>IFERROR('HistoricalFS '!F32/SUM('HistoricalFS '!F48:F49),0)</f>
        <v>5.5143843873638736E-2</v>
      </c>
      <c r="G23" s="27">
        <f>IFERROR('HistoricalFS '!G32/SUM('HistoricalFS '!G48:G49),0)</f>
        <v>0.10789524126005844</v>
      </c>
      <c r="H23" s="27">
        <f>IFERROR('HistoricalFS '!H32/SUM('HistoricalFS '!H48:H49),0)</f>
        <v>0.35344508499599464</v>
      </c>
      <c r="I23" s="27">
        <f>IFERROR('HistoricalFS '!I32/SUM('HistoricalFS '!I48:I49),0)</f>
        <v>6.3119494073170954E-2</v>
      </c>
      <c r="J23" s="27">
        <f>IFERROR('HistoricalFS '!J32/SUM('HistoricalFS '!J48:J49),0)</f>
        <v>1.1904285899306987E-2</v>
      </c>
      <c r="K23" s="27">
        <f>IFERROR('HistoricalFS '!K32/SUM('HistoricalFS '!K48:K49),0)</f>
        <v>2.5195670970694854E-2</v>
      </c>
      <c r="L23" s="27">
        <f>IFERROR('HistoricalFS '!L32/SUM('HistoricalFS '!L48:L49),0)</f>
        <v>9.9326939593893007E-2</v>
      </c>
      <c r="N23" s="26">
        <f t="shared" si="2"/>
        <v>9.2867276332734297E-2</v>
      </c>
      <c r="O23" s="26">
        <f t="shared" si="3"/>
        <v>8.122321683353198E-2</v>
      </c>
    </row>
    <row r="24" spans="2:15" x14ac:dyDescent="0.3">
      <c r="B24" t="s">
        <v>132</v>
      </c>
      <c r="C24" s="27">
        <f>IFERROR(C22*C23,0)</f>
        <v>0</v>
      </c>
      <c r="D24" s="27">
        <f t="shared" ref="D24:L24" si="5">IFERROR(D22*D23,0)</f>
        <v>9.3632527482059552E-2</v>
      </c>
      <c r="E24" s="27">
        <f t="shared" si="5"/>
        <v>8.8638852504777654E-2</v>
      </c>
      <c r="F24" s="27">
        <f t="shared" si="5"/>
        <v>3.9582447065155575E-2</v>
      </c>
      <c r="G24" s="27">
        <f t="shared" si="5"/>
        <v>6.7565639894087537E-2</v>
      </c>
      <c r="H24" s="27">
        <f t="shared" si="5"/>
        <v>0.29902351423031071</v>
      </c>
      <c r="I24" s="27">
        <f t="shared" si="5"/>
        <v>2.0469412245191131E-2</v>
      </c>
      <c r="J24" s="27">
        <f t="shared" si="5"/>
        <v>0</v>
      </c>
      <c r="K24" s="27">
        <f t="shared" si="5"/>
        <v>0</v>
      </c>
      <c r="L24" s="27">
        <f t="shared" si="5"/>
        <v>5.048799693445042E-2</v>
      </c>
      <c r="N24" s="26">
        <f t="shared" si="2"/>
        <v>6.5940039035603262E-2</v>
      </c>
      <c r="O24" s="26">
        <f t="shared" si="3"/>
        <v>4.5035221999802998E-2</v>
      </c>
    </row>
    <row r="25" spans="2:15" x14ac:dyDescent="0.3">
      <c r="B25" s="31" t="s">
        <v>133</v>
      </c>
      <c r="C25" s="35">
        <f>IFERROR(('HistoricalFS '!C17-'HistoricalFS '!C23)/'HistoricalFS '!C20,0)</f>
        <v>1.4728815898426721</v>
      </c>
      <c r="D25" s="35">
        <f>IFERROR(('HistoricalFS '!D17-'HistoricalFS '!D23)/'HistoricalFS '!D20,0)</f>
        <v>2.8766705654165006</v>
      </c>
      <c r="E25" s="35">
        <f>IFERROR(('HistoricalFS '!E17-'HistoricalFS '!E23)/'HistoricalFS '!E20,0)</f>
        <v>2.868942964191068</v>
      </c>
      <c r="F25" s="35">
        <f>IFERROR(('HistoricalFS '!F17-'HistoricalFS '!F23)/'HistoricalFS '!F20,0)</f>
        <v>1.1976342875650769</v>
      </c>
      <c r="G25" s="35">
        <f>IFERROR(('HistoricalFS '!G17-'HistoricalFS '!G23)/'HistoricalFS '!G20,0)</f>
        <v>2.7962969536106921</v>
      </c>
      <c r="H25" s="35">
        <f>IFERROR(('HistoricalFS '!H17-'HistoricalFS '!H23)/'HistoricalFS '!H20,0)</f>
        <v>9.9573578411629029</v>
      </c>
      <c r="I25" s="35">
        <f>IFERROR(('HistoricalFS '!I17-'HistoricalFS '!I23)/'HistoricalFS '!I20,0)</f>
        <v>3.6459840919554858</v>
      </c>
      <c r="J25" s="35">
        <f>IFERROR(('HistoricalFS '!J17-'HistoricalFS '!J23)/'HistoricalFS '!J20,0)</f>
        <v>1.6471055214936394</v>
      </c>
      <c r="K25" s="35">
        <f>IFERROR(('HistoricalFS '!K17-'HistoricalFS '!K23)/'HistoricalFS '!K20,0)</f>
        <v>2.0265932883346149</v>
      </c>
      <c r="L25" s="35">
        <f>IFERROR(('HistoricalFS '!L17-'HistoricalFS '!L23)/'HistoricalFS '!L20,0)</f>
        <v>3.1251210398685094</v>
      </c>
      <c r="M25" s="31"/>
      <c r="N25" s="35">
        <f t="shared" si="2"/>
        <v>3.1614588143441167</v>
      </c>
      <c r="O25" s="35">
        <f t="shared" si="3"/>
        <v>2.8326199589008798</v>
      </c>
    </row>
    <row r="27" spans="2:15" x14ac:dyDescent="0.3">
      <c r="B27" s="29" t="s">
        <v>134</v>
      </c>
      <c r="C27" s="36">
        <f>IFERROR('HistoricalFS '!C5/'HistoricalFS '!C60,0)</f>
        <v>9.691996596132503</v>
      </c>
      <c r="D27" s="36">
        <f>IFERROR('HistoricalFS '!D5/'HistoricalFS '!D60,0)</f>
        <v>9.9270163472814676</v>
      </c>
      <c r="E27" s="36">
        <f>IFERROR('HistoricalFS '!E5/'HistoricalFS '!E60,0)</f>
        <v>13.349334518669037</v>
      </c>
      <c r="F27" s="36">
        <f>IFERROR('HistoricalFS '!F5/'HistoricalFS '!F60,0)</f>
        <v>17.732180836559959</v>
      </c>
      <c r="G27" s="36">
        <f>IFERROR('HistoricalFS '!G5/'HistoricalFS '!G60,0)</f>
        <v>16.402518281229035</v>
      </c>
      <c r="H27" s="36">
        <f>IFERROR('HistoricalFS '!H5/'HistoricalFS '!H60,0)</f>
        <v>19.920839787595241</v>
      </c>
      <c r="I27" s="36">
        <f>IFERROR('HistoricalFS '!I5/'HistoricalFS '!I60,0)</f>
        <v>29.471432343010498</v>
      </c>
      <c r="J27" s="36">
        <f>IFERROR('HistoricalFS '!J5/'HistoricalFS '!J60,0)</f>
        <v>36.588118840334445</v>
      </c>
      <c r="K27" s="36">
        <f>IFERROR('HistoricalFS '!K5/'HistoricalFS '!K60,0)</f>
        <v>41.547531777204064</v>
      </c>
      <c r="L27" s="36">
        <f>IFERROR('HistoricalFS '!L5/'HistoricalFS '!L60,0)</f>
        <v>47.212758471310117</v>
      </c>
      <c r="M27" s="29"/>
      <c r="N27" s="36">
        <f t="shared" si="2"/>
        <v>24.184372779932634</v>
      </c>
      <c r="O27" s="36">
        <f t="shared" si="3"/>
        <v>18.826510312077602</v>
      </c>
    </row>
    <row r="28" spans="2:15" x14ac:dyDescent="0.3">
      <c r="B28" t="s">
        <v>135</v>
      </c>
      <c r="C28" s="25">
        <f>IFERROR('HistoricalFS '!C5/'HistoricalFS '!C51,0)</f>
        <v>2.1757735757812484</v>
      </c>
      <c r="D28" s="25">
        <f>IFERROR('HistoricalFS '!D5/'HistoricalFS '!D51,0)</f>
        <v>2.2125526012544414</v>
      </c>
      <c r="E28" s="25">
        <f>IFERROR('HistoricalFS '!E5/'HistoricalFS '!E51,0)</f>
        <v>2.5014062667077459</v>
      </c>
      <c r="F28" s="25">
        <f>IFERROR('HistoricalFS '!F5/'HistoricalFS '!F51,0)</f>
        <v>2.3599889745262943</v>
      </c>
      <c r="G28" s="25">
        <f>IFERROR('HistoricalFS '!G5/'HistoricalFS '!G51,0)</f>
        <v>1.9277973206769432</v>
      </c>
      <c r="H28" s="25">
        <f>IFERROR('HistoricalFS '!H5/'HistoricalFS '!H51,0)</f>
        <v>2.6397570887176078</v>
      </c>
      <c r="I28" s="25">
        <f>IFERROR('HistoricalFS '!I5/'HistoricalFS '!I51,0)</f>
        <v>2.4979584919539115</v>
      </c>
      <c r="J28" s="25">
        <f>IFERROR('HistoricalFS '!J5/'HistoricalFS '!J51,0)</f>
        <v>2.5408498119730973</v>
      </c>
      <c r="K28" s="25">
        <f>IFERROR('HistoricalFS '!K5/'HistoricalFS '!K51,0)</f>
        <v>2.4421459214038994</v>
      </c>
      <c r="L28" s="25">
        <f>IFERROR('HistoricalFS '!L5/'HistoricalFS '!L51,0)</f>
        <v>2.2766564975198915</v>
      </c>
      <c r="N28" s="25">
        <f t="shared" si="2"/>
        <v>2.3574886550515082</v>
      </c>
      <c r="O28" s="25">
        <f t="shared" si="3"/>
        <v>2.4010674479650969</v>
      </c>
    </row>
    <row r="29" spans="2:15" x14ac:dyDescent="0.3">
      <c r="B29" t="s">
        <v>136</v>
      </c>
      <c r="C29" s="25">
        <f>IFERROR('HistoricalFS '!C5/'HistoricalFS '!C61,0)</f>
        <v>4.527505037530509</v>
      </c>
      <c r="D29" s="25">
        <f>IFERROR('HistoricalFS '!D5/'HistoricalFS '!D61,0)</f>
        <v>4.3503192964324642</v>
      </c>
      <c r="E29" s="25">
        <f>IFERROR('HistoricalFS '!E5/'HistoricalFS '!E61,0)</f>
        <v>4.980682712020748</v>
      </c>
      <c r="F29" s="25">
        <f>IFERROR('HistoricalFS '!F5/'HistoricalFS '!F61,0)</f>
        <v>4.50023850354955</v>
      </c>
      <c r="G29" s="25">
        <f>IFERROR('HistoricalFS '!G5/'HistoricalFS '!G61,0)</f>
        <v>4.7023564462240186</v>
      </c>
      <c r="H29" s="25">
        <f>IFERROR('HistoricalFS '!H5/'HistoricalFS '!H61,0)</f>
        <v>4.9966660105738141</v>
      </c>
      <c r="I29" s="25">
        <f>IFERROR('HistoricalFS '!I5/'HistoricalFS '!I61,0)</f>
        <v>4.4721347826062985</v>
      </c>
      <c r="J29" s="25">
        <f>IFERROR('HistoricalFS '!J5/'HistoricalFS '!J61,0)</f>
        <v>4.6619688426041108</v>
      </c>
      <c r="K29" s="25">
        <f>IFERROR('HistoricalFS '!K5/'HistoricalFS '!K61,0)</f>
        <v>4.9011617867169139</v>
      </c>
      <c r="L29" s="25">
        <f>IFERROR('HistoricalFS '!L5/'HistoricalFS '!L61,0)</f>
        <v>4.9130957082466127</v>
      </c>
      <c r="N29" s="25">
        <f t="shared" si="2"/>
        <v>4.7006129126505041</v>
      </c>
      <c r="O29" s="25">
        <f t="shared" si="3"/>
        <v>4.6821626444140652</v>
      </c>
    </row>
    <row r="30" spans="2:15" x14ac:dyDescent="0.3">
      <c r="B30" t="s">
        <v>138</v>
      </c>
      <c r="C30" s="25">
        <f>IFERROR('HistoricalFS '!C5/'HistoricalFS '!C54,0)</f>
        <v>1.220558971073255</v>
      </c>
      <c r="D30" s="25">
        <f>IFERROR('HistoricalFS '!D5/'HistoricalFS '!D54,0)</f>
        <v>1.2824432762994682</v>
      </c>
      <c r="E30" s="25">
        <f>IFERROR('HistoricalFS '!E5/'HistoricalFS '!E54,0)</f>
        <v>1.2670087593480364</v>
      </c>
      <c r="F30" s="25">
        <f>IFERROR('HistoricalFS '!F5/'HistoricalFS '!F54,0)</f>
        <v>1.0391376006628283</v>
      </c>
      <c r="G30" s="25">
        <f>IFERROR('HistoricalFS '!G5/'HistoricalFS '!G54,0)</f>
        <v>1.1524742592865647</v>
      </c>
      <c r="H30" s="25">
        <f>IFERROR('HistoricalFS '!H5/'HistoricalFS '!H54,0)</f>
        <v>1.8303184169177338</v>
      </c>
      <c r="I30" s="25">
        <f>IFERROR('HistoricalFS '!I5/'HistoricalFS '!I54,0)</f>
        <v>1.6597344617902456</v>
      </c>
      <c r="J30" s="25">
        <f>IFERROR('HistoricalFS '!J5/'HistoricalFS '!J54,0)</f>
        <v>1.5399773865939568</v>
      </c>
      <c r="K30" s="25">
        <f>IFERROR('HistoricalFS '!K5/'HistoricalFS '!K54,0)</f>
        <v>1.4481255755759272</v>
      </c>
      <c r="L30" s="25">
        <f>IFERROR('HistoricalFS '!L5/'HistoricalFS '!L54,0)</f>
        <v>1.2903249008257713</v>
      </c>
      <c r="N30" s="25">
        <f t="shared" si="2"/>
        <v>1.3730103608373787</v>
      </c>
      <c r="O30" s="25">
        <f t="shared" si="3"/>
        <v>1.2863840885626199</v>
      </c>
    </row>
    <row r="31" spans="2:15" x14ac:dyDescent="0.3">
      <c r="B31" s="31" t="s">
        <v>137</v>
      </c>
      <c r="C31" s="35">
        <f>IFERROR('HistoricalFS '!C5/SUM('HistoricalFS '!C48:C49),0)</f>
        <v>2.9693664507981636</v>
      </c>
      <c r="D31" s="35">
        <f>IFERROR('HistoricalFS '!D5/SUM('HistoricalFS '!D48:D49),0)</f>
        <v>2.024771063609998</v>
      </c>
      <c r="E31" s="35">
        <f>IFERROR('HistoricalFS '!E5/SUM('HistoricalFS '!E48:E49),0)</f>
        <v>2.2875416321606008</v>
      </c>
      <c r="F31" s="35">
        <f>IFERROR('HistoricalFS '!F5/SUM('HistoricalFS '!F48:F49),0)</f>
        <v>1.9002946601011466</v>
      </c>
      <c r="G31" s="35">
        <f>IFERROR('HistoricalFS '!G5/SUM('HistoricalFS '!G48:G49),0)</f>
        <v>2.1077585202448801</v>
      </c>
      <c r="H31" s="35">
        <f>IFERROR('HistoricalFS '!H5/SUM('HistoricalFS '!H48:H49),0)</f>
        <v>2.1317082279533994</v>
      </c>
      <c r="I31" s="35">
        <f>IFERROR('HistoricalFS '!I5/SUM('HistoricalFS '!I48:I49),0)</f>
        <v>2.3607657391535484</v>
      </c>
      <c r="J31" s="35">
        <f>IFERROR('HistoricalFS '!J5/SUM('HistoricalFS '!J48:J49),0)</f>
        <v>2.4900188796180962</v>
      </c>
      <c r="K31" s="35">
        <f>IFERROR('HistoricalFS '!K5/SUM('HistoricalFS '!K48:K49),0)</f>
        <v>2.397097695800674</v>
      </c>
      <c r="L31" s="35">
        <f>IFERROR('HistoricalFS '!L5/SUM('HistoricalFS '!L48:L49),0)</f>
        <v>2.2721472011933326</v>
      </c>
      <c r="M31" s="31"/>
      <c r="N31" s="35">
        <f t="shared" si="2"/>
        <v>2.2941470070633843</v>
      </c>
      <c r="O31" s="35">
        <f t="shared" si="3"/>
        <v>2.2798444166769665</v>
      </c>
    </row>
    <row r="32" spans="2:15" x14ac:dyDescent="0.3">
      <c r="B32" s="8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2:15" x14ac:dyDescent="0.3">
      <c r="B33" s="29" t="s">
        <v>139</v>
      </c>
      <c r="C33" s="37">
        <f>IFERROR(365/C27,0)</f>
        <v>37.659938938242064</v>
      </c>
      <c r="D33" s="37">
        <f t="shared" ref="D33:L33" si="6">IFERROR(365/D27,0)</f>
        <v>36.76834884027928</v>
      </c>
      <c r="E33" s="37">
        <f t="shared" si="6"/>
        <v>27.342186944940789</v>
      </c>
      <c r="F33" s="37">
        <f t="shared" si="6"/>
        <v>20.584044532607528</v>
      </c>
      <c r="G33" s="37">
        <f t="shared" si="6"/>
        <v>22.252680578792848</v>
      </c>
      <c r="H33" s="37">
        <f t="shared" si="6"/>
        <v>18.322520731645383</v>
      </c>
      <c r="I33" s="37">
        <f t="shared" si="6"/>
        <v>12.384874808657344</v>
      </c>
      <c r="J33" s="37">
        <f t="shared" si="6"/>
        <v>9.9759159959223425</v>
      </c>
      <c r="K33" s="37">
        <f t="shared" si="6"/>
        <v>8.7851187395989907</v>
      </c>
      <c r="L33" s="37">
        <f t="shared" si="6"/>
        <v>7.7309611176775528</v>
      </c>
      <c r="M33" s="29"/>
      <c r="N33" s="37">
        <f t="shared" si="2"/>
        <v>20.180659122836417</v>
      </c>
      <c r="O33" s="37">
        <f t="shared" si="3"/>
        <v>19.453282632126456</v>
      </c>
    </row>
    <row r="34" spans="2:15" x14ac:dyDescent="0.3">
      <c r="B34" t="s">
        <v>141</v>
      </c>
      <c r="C34" s="28">
        <f>IFERROR(365/C28,0)</f>
        <v>167.75642652473181</v>
      </c>
      <c r="D34" s="28">
        <f t="shared" ref="D34:L34" si="7">IFERROR(365/D28,0)</f>
        <v>164.96782937185654</v>
      </c>
      <c r="E34" s="28">
        <f t="shared" si="7"/>
        <v>145.91792019470665</v>
      </c>
      <c r="F34" s="28">
        <f t="shared" si="7"/>
        <v>154.66173949955174</v>
      </c>
      <c r="G34" s="28">
        <f t="shared" si="7"/>
        <v>189.33525640124387</v>
      </c>
      <c r="H34" s="28">
        <f t="shared" si="7"/>
        <v>138.27029826343482</v>
      </c>
      <c r="I34" s="28">
        <f t="shared" si="7"/>
        <v>146.1193215082192</v>
      </c>
      <c r="J34" s="28">
        <f t="shared" si="7"/>
        <v>143.65272527326565</v>
      </c>
      <c r="K34" s="28">
        <f t="shared" si="7"/>
        <v>149.45871858065507</v>
      </c>
      <c r="L34" s="28">
        <f t="shared" si="7"/>
        <v>160.32282445666178</v>
      </c>
      <c r="N34" s="28">
        <f t="shared" si="2"/>
        <v>156.04630600743272</v>
      </c>
      <c r="O34" s="28">
        <f t="shared" si="3"/>
        <v>152.06022904010342</v>
      </c>
    </row>
    <row r="35" spans="2:15" x14ac:dyDescent="0.3">
      <c r="B35" t="s">
        <v>140</v>
      </c>
      <c r="C35" s="28">
        <f>IFERROR(365/C29,0)</f>
        <v>80.618353149107989</v>
      </c>
      <c r="D35" s="28">
        <f t="shared" ref="D35:L35" si="8">IFERROR(365/D29,0)</f>
        <v>83.901887454404317</v>
      </c>
      <c r="E35" s="28">
        <f t="shared" si="8"/>
        <v>73.283126250761171</v>
      </c>
      <c r="F35" s="28">
        <f t="shared" si="8"/>
        <v>81.106812386078502</v>
      </c>
      <c r="G35" s="28">
        <f t="shared" si="8"/>
        <v>77.620657679639351</v>
      </c>
      <c r="H35" s="28">
        <f t="shared" si="8"/>
        <v>73.048708724496805</v>
      </c>
      <c r="I35" s="28">
        <f t="shared" si="8"/>
        <v>81.616502574925306</v>
      </c>
      <c r="J35" s="28">
        <f t="shared" si="8"/>
        <v>78.293101546366429</v>
      </c>
      <c r="K35" s="28">
        <f t="shared" si="8"/>
        <v>74.472138624197186</v>
      </c>
      <c r="L35" s="28">
        <f t="shared" si="8"/>
        <v>74.291245616760293</v>
      </c>
      <c r="N35" s="28">
        <f t="shared" si="2"/>
        <v>77.825253400673745</v>
      </c>
      <c r="O35" s="28">
        <f t="shared" si="3"/>
        <v>77.956879613002883</v>
      </c>
    </row>
    <row r="36" spans="2:15" x14ac:dyDescent="0.3">
      <c r="B36" s="31" t="s">
        <v>145</v>
      </c>
      <c r="C36" s="38">
        <f>IFERROR(SUM(C33,C35)-C34,0)</f>
        <v>-49.478134437381755</v>
      </c>
      <c r="D36" s="38">
        <f t="shared" ref="D36:L36" si="9">IFERROR(SUM(D33,D35)-D34,0)</f>
        <v>-44.297593077172934</v>
      </c>
      <c r="E36" s="38">
        <f t="shared" si="9"/>
        <v>-45.29260699900469</v>
      </c>
      <c r="F36" s="38">
        <f t="shared" si="9"/>
        <v>-52.97088258086572</v>
      </c>
      <c r="G36" s="38">
        <f t="shared" si="9"/>
        <v>-89.461918142811669</v>
      </c>
      <c r="H36" s="38">
        <f t="shared" si="9"/>
        <v>-46.899068807292636</v>
      </c>
      <c r="I36" s="38">
        <f t="shared" si="9"/>
        <v>-52.117944124636551</v>
      </c>
      <c r="J36" s="38">
        <f t="shared" si="9"/>
        <v>-55.38370773097688</v>
      </c>
      <c r="K36" s="38">
        <f t="shared" si="9"/>
        <v>-66.201461216858903</v>
      </c>
      <c r="L36" s="38">
        <f t="shared" si="9"/>
        <v>-78.300617722223933</v>
      </c>
      <c r="M36" s="31"/>
      <c r="N36" s="38">
        <f t="shared" si="2"/>
        <v>-58.040393483922571</v>
      </c>
      <c r="O36" s="38">
        <f t="shared" si="3"/>
        <v>-52.544413352751135</v>
      </c>
    </row>
    <row r="38" spans="2:15" x14ac:dyDescent="0.3">
      <c r="B38" s="29" t="s">
        <v>142</v>
      </c>
      <c r="C38" s="30">
        <f>IFERROR('HistoricalFS '!C103/'HistoricalFS '!C5,0)</f>
        <v>9.6388387402178935E-2</v>
      </c>
      <c r="D38" s="30">
        <f>IFERROR('HistoricalFS '!D103/'HistoricalFS '!D5,0)</f>
        <v>6.5098990199276965E-2</v>
      </c>
      <c r="E38" s="30">
        <f>IFERROR('HistoricalFS '!E103/'HistoricalFS '!E5,0)</f>
        <v>0.16069076106848912</v>
      </c>
      <c r="F38" s="30">
        <f>IFERROR('HistoricalFS '!F103/'HistoricalFS '!F5,0)</f>
        <v>0.14425120327228555</v>
      </c>
      <c r="G38" s="30">
        <f>IFERROR('HistoricalFS '!G103/'HistoricalFS '!G5,0)</f>
        <v>0.28327847983159232</v>
      </c>
      <c r="H38" s="30">
        <f>IFERROR('HistoricalFS '!H103/'HistoricalFS '!H5,0)</f>
        <v>0.18191974501306918</v>
      </c>
      <c r="I38" s="30">
        <f>IFERROR('HistoricalFS '!I103/'HistoricalFS '!I5,0)</f>
        <v>8.9101460107139152E-2</v>
      </c>
      <c r="J38" s="30">
        <f>IFERROR('HistoricalFS '!J103/'HistoricalFS '!J5,0)</f>
        <v>8.8583151831136575E-2</v>
      </c>
      <c r="K38" s="30">
        <f>IFERROR('HistoricalFS '!K103/'HistoricalFS '!K5,0)</f>
        <v>0.105872216805783</v>
      </c>
      <c r="L38" s="30">
        <f>IFERROR('HistoricalFS '!L103/'HistoricalFS '!L5,0)</f>
        <v>0.15104880271787785</v>
      </c>
      <c r="M38" s="29"/>
      <c r="N38" s="30">
        <f t="shared" si="2"/>
        <v>0.13662331982488288</v>
      </c>
      <c r="O38" s="30">
        <f t="shared" si="3"/>
        <v>0.12506171003903427</v>
      </c>
    </row>
    <row r="39" spans="2:15" x14ac:dyDescent="0.3">
      <c r="B39" t="s">
        <v>143</v>
      </c>
      <c r="C39" s="26">
        <f>IFERROR('HistoricalFS '!C103/'HistoricalFS '!C65,0)</f>
        <v>6.2769063975866957E-2</v>
      </c>
      <c r="D39" s="26">
        <f>IFERROR('HistoricalFS '!D103/'HistoricalFS '!D65,0)</f>
        <v>3.8440531512373338E-2</v>
      </c>
      <c r="E39" s="26">
        <f>IFERROR('HistoricalFS '!E103/'HistoricalFS '!E65,0)</f>
        <v>0.10884381826380192</v>
      </c>
      <c r="F39" s="26">
        <f>IFERROR('HistoricalFS '!F103/'HistoricalFS '!F65,0)</f>
        <v>8.0950396292790452E-2</v>
      </c>
      <c r="G39" s="26">
        <f>IFERROR('HistoricalFS '!G103/'HistoricalFS '!G65,0)</f>
        <v>0.18173435777471117</v>
      </c>
      <c r="H39" s="26">
        <f>IFERROR('HistoricalFS '!H103/'HistoricalFS '!H65,0)</f>
        <v>0.15714442167274204</v>
      </c>
      <c r="I39" s="26">
        <f>IFERROR('HistoricalFS '!I103/'HistoricalFS '!I65,0)</f>
        <v>7.5975475180466948E-2</v>
      </c>
      <c r="J39" s="26">
        <f>IFERROR('HistoricalFS '!J103/'HistoricalFS '!J65,0)</f>
        <v>7.5379627868629298E-2</v>
      </c>
      <c r="K39" s="26">
        <f>IFERROR('HistoricalFS '!K103/'HistoricalFS '!K65,0)</f>
        <v>8.3996584894905094E-2</v>
      </c>
      <c r="L39" s="26">
        <f>IFERROR('HistoricalFS '!L103/'HistoricalFS '!L65,0)</f>
        <v>0.1182554168829854</v>
      </c>
      <c r="N39" s="26">
        <f t="shared" si="2"/>
        <v>9.8348969431927252E-2</v>
      </c>
      <c r="O39" s="26">
        <f t="shared" si="3"/>
        <v>8.2473490593847773E-2</v>
      </c>
    </row>
    <row r="40" spans="2:15" x14ac:dyDescent="0.3">
      <c r="B40" s="31" t="s">
        <v>144</v>
      </c>
      <c r="C40" s="32">
        <f>IFERROR('HistoricalFS '!C103/'HistoricalFS '!C50,0)</f>
        <v>0.13039121242568616</v>
      </c>
      <c r="D40" s="32">
        <f>IFERROR('HistoricalFS '!D103/'HistoricalFS '!D50,0)</f>
        <v>8.7071588292842797E-2</v>
      </c>
      <c r="E40" s="32">
        <f>IFERROR('HistoricalFS '!E103/'HistoricalFS '!E50,0)</f>
        <v>0.25130827162533964</v>
      </c>
      <c r="F40" s="32">
        <f>IFERROR('HistoricalFS '!F103/'HistoricalFS '!F50,0)</f>
        <v>0.17337773643879989</v>
      </c>
      <c r="G40" s="32">
        <f>IFERROR('HistoricalFS '!G103/'HistoricalFS '!G50,0)</f>
        <v>0.50085846089909747</v>
      </c>
      <c r="H40" s="32">
        <f>IFERROR('HistoricalFS '!H103/'HistoricalFS '!H50,0)</f>
        <v>0.58735041128831067</v>
      </c>
      <c r="I40" s="32">
        <f>IFERROR('HistoricalFS '!I103/'HistoricalFS '!I50,0)</f>
        <v>0.25541643279396842</v>
      </c>
      <c r="J40" s="32">
        <f>IFERROR('HistoricalFS '!J103/'HistoricalFS '!J50,0)</f>
        <v>0.23312098970489004</v>
      </c>
      <c r="K40" s="32">
        <f>IFERROR('HistoricalFS '!K103/'HistoricalFS '!K50,0)</f>
        <v>0.24406459633094782</v>
      </c>
      <c r="L40" s="32">
        <f>IFERROR('HistoricalFS '!L103/'HistoricalFS '!L50,0)</f>
        <v>0.37956075273798878</v>
      </c>
      <c r="M40" s="31"/>
      <c r="N40" s="32">
        <f t="shared" si="2"/>
        <v>0.28425204525378722</v>
      </c>
      <c r="O40" s="32">
        <f t="shared" si="3"/>
        <v>0.24768643397814372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74B3F65-4026-43C5-9970-965B91BCCAA6}">
          <x14:colorSeries rgb="FF0275D8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45E153F6-9E17-4234-839E-8EF2796CAA38}">
          <x14:colorSeries rgb="FF0275D8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3CC7-243A-4585-877F-1DB0C6F8BB96}">
  <dimension ref="B2:Y26"/>
  <sheetViews>
    <sheetView showGridLines="0" tabSelected="1" zoomScale="91" workbookViewId="0">
      <selection activeCell="R29" sqref="R29"/>
    </sheetView>
  </sheetViews>
  <sheetFormatPr defaultRowHeight="14.4" x14ac:dyDescent="0.3"/>
  <cols>
    <col min="1" max="1" width="2.33203125" customWidth="1"/>
    <col min="2" max="2" width="11.44140625" bestFit="1" customWidth="1"/>
    <col min="3" max="3" width="9.77734375" bestFit="1" customWidth="1"/>
    <col min="4" max="4" width="10.21875" bestFit="1" customWidth="1"/>
    <col min="5" max="5" width="12" bestFit="1" customWidth="1"/>
    <col min="6" max="6" width="3.5546875" customWidth="1"/>
    <col min="7" max="7" width="12.109375" bestFit="1" customWidth="1"/>
    <col min="8" max="9" width="9" bestFit="1" customWidth="1"/>
    <col min="10" max="10" width="12.109375" bestFit="1" customWidth="1"/>
    <col min="11" max="11" width="3.33203125" customWidth="1"/>
    <col min="12" max="12" width="12.109375" bestFit="1" customWidth="1"/>
    <col min="13" max="14" width="9" bestFit="1" customWidth="1"/>
    <col min="15" max="15" width="10.77734375" customWidth="1"/>
    <col min="18" max="18" width="9" bestFit="1" customWidth="1"/>
    <col min="19" max="20" width="13.21875" bestFit="1" customWidth="1"/>
    <col min="21" max="23" width="9" bestFit="1" customWidth="1"/>
  </cols>
  <sheetData>
    <row r="2" spans="2:24" x14ac:dyDescent="0.3">
      <c r="B2" s="176" t="str">
        <f>'Data Sheet'!B1&amp;" -"&amp;'Data Sheet'!A17 &amp;" Forecasting"</f>
        <v>TATA STEEL LTD -Sales Forecasting</v>
      </c>
      <c r="C2" s="176"/>
      <c r="D2" s="176"/>
      <c r="E2" s="176"/>
      <c r="G2" s="176" t="str">
        <f>'Data Sheet'!B1&amp;" - "&amp;'HistoricalFS '!B17 &amp;" Forecasting"</f>
        <v>TATA STEEL LTD - EBITDA Forecasting</v>
      </c>
      <c r="H2" s="176"/>
      <c r="I2" s="176"/>
      <c r="J2" s="176"/>
      <c r="L2" s="176" t="str">
        <f>'Data Sheet'!B1&amp;" - "&amp;'HistoricalFS '!B37 &amp;" Forecasting"</f>
        <v>TATA STEEL LTD - Earning Per Share Forecasting</v>
      </c>
      <c r="M2" s="176"/>
      <c r="N2" s="176"/>
      <c r="O2" s="176"/>
    </row>
    <row r="3" spans="2:24" x14ac:dyDescent="0.3">
      <c r="B3" s="39" t="s">
        <v>173</v>
      </c>
      <c r="C3" s="39" t="s">
        <v>149</v>
      </c>
      <c r="D3" s="39" t="s">
        <v>1</v>
      </c>
      <c r="E3" s="39" t="s">
        <v>117</v>
      </c>
      <c r="G3" s="39" t="s">
        <v>173</v>
      </c>
      <c r="H3" s="39" t="s">
        <v>149</v>
      </c>
      <c r="I3" s="39" t="s">
        <v>1</v>
      </c>
      <c r="J3" s="39" t="s">
        <v>117</v>
      </c>
      <c r="L3" s="39" t="s">
        <v>173</v>
      </c>
      <c r="M3" s="39" t="s">
        <v>149</v>
      </c>
      <c r="N3" s="39" t="s">
        <v>1</v>
      </c>
      <c r="O3" s="39" t="s">
        <v>117</v>
      </c>
      <c r="Q3" t="s">
        <v>150</v>
      </c>
      <c r="V3" s="53"/>
      <c r="W3" s="54"/>
      <c r="X3" s="53"/>
    </row>
    <row r="4" spans="2:24" ht="15" thickBot="1" x14ac:dyDescent="0.35">
      <c r="B4" s="43">
        <v>1</v>
      </c>
      <c r="C4" s="44">
        <f>'Data Sheet'!$B$16</f>
        <v>42825</v>
      </c>
      <c r="D4" s="51">
        <f t="array" ref="D4:D13">TRANSPOSE('Data Sheet'!B17:K17)</f>
        <v>112299.42</v>
      </c>
      <c r="G4" s="43">
        <v>1</v>
      </c>
      <c r="H4" s="44">
        <f>'Data Sheet'!$B$16</f>
        <v>42825</v>
      </c>
      <c r="I4" s="51">
        <f t="array" ref="I4:I13">TRANSPOSE('HistoricalFS '!C17:M17)</f>
        <v>13143.630000000001</v>
      </c>
      <c r="L4" s="43">
        <v>1</v>
      </c>
      <c r="M4" s="44">
        <f>'Data Sheet'!$B$16</f>
        <v>42825</v>
      </c>
      <c r="N4" s="51">
        <f t="array" ref="N4:N13">TRANSPOSE('HistoricalFS '!C37:M37)</f>
        <v>-0.33681276739273153</v>
      </c>
      <c r="V4" s="53"/>
      <c r="W4" s="54"/>
      <c r="X4" s="53"/>
    </row>
    <row r="5" spans="2:24" x14ac:dyDescent="0.3">
      <c r="B5" s="43">
        <f>B4+1</f>
        <v>2</v>
      </c>
      <c r="C5" s="44">
        <f>C4+365</f>
        <v>43190</v>
      </c>
      <c r="D5" s="51">
        <v>123249.07</v>
      </c>
      <c r="E5" s="9">
        <f>D5/D4-1</f>
        <v>9.7504065470685575E-2</v>
      </c>
      <c r="G5" s="43">
        <f>G4+1</f>
        <v>2</v>
      </c>
      <c r="H5" s="44">
        <f>H4+365</f>
        <v>43190</v>
      </c>
      <c r="I5" s="51">
        <v>21433.190000000002</v>
      </c>
      <c r="J5" s="9">
        <f>I5/I4-1</f>
        <v>0.6306903039723426</v>
      </c>
      <c r="L5" s="43">
        <f>L4+1</f>
        <v>2</v>
      </c>
      <c r="M5" s="44">
        <f>M4+365</f>
        <v>43190</v>
      </c>
      <c r="N5" s="51">
        <v>6.0759356579788397</v>
      </c>
      <c r="O5" s="9">
        <f>N5/N4-1</f>
        <v>-19.039505167849406</v>
      </c>
      <c r="Q5" s="47" t="s">
        <v>151</v>
      </c>
      <c r="R5" s="47"/>
      <c r="V5" s="53"/>
      <c r="W5" s="54"/>
      <c r="X5" s="53"/>
    </row>
    <row r="6" spans="2:24" x14ac:dyDescent="0.3">
      <c r="B6" s="43">
        <f t="shared" ref="B6:B17" si="0">B5+1</f>
        <v>3</v>
      </c>
      <c r="C6" s="44">
        <f t="shared" ref="C6:C17" si="1">C5+365</f>
        <v>43555</v>
      </c>
      <c r="D6" s="51">
        <v>157668.99</v>
      </c>
      <c r="E6" s="9">
        <f t="shared" ref="E6:E17" si="2">D6/D5-1</f>
        <v>0.27927123506895413</v>
      </c>
      <c r="G6" s="43">
        <f t="shared" ref="G6:G17" si="3">G5+1</f>
        <v>3</v>
      </c>
      <c r="H6" s="44">
        <f t="shared" ref="H6:H17" si="4">H5+365</f>
        <v>43555</v>
      </c>
      <c r="I6" s="51">
        <v>29318.22</v>
      </c>
      <c r="J6" s="9">
        <f t="shared" ref="J6:J17" si="5">I6/I5-1</f>
        <v>0.36788877437283007</v>
      </c>
      <c r="L6" s="43">
        <f t="shared" ref="L6:L17" si="6">L5+1</f>
        <v>3</v>
      </c>
      <c r="M6" s="44">
        <f t="shared" ref="M6:M17" si="7">M5+365</f>
        <v>43555</v>
      </c>
      <c r="N6" s="51">
        <v>6.7447203259682738</v>
      </c>
      <c r="O6" s="9">
        <f t="shared" ref="O6:O17" si="8">N6/N5-1</f>
        <v>0.11007105829226393</v>
      </c>
      <c r="Q6" t="s">
        <v>152</v>
      </c>
      <c r="R6">
        <v>0.87298507272016745</v>
      </c>
      <c r="V6" s="53"/>
      <c r="W6" s="53"/>
      <c r="X6" s="53"/>
    </row>
    <row r="7" spans="2:24" x14ac:dyDescent="0.3">
      <c r="B7" s="43">
        <f t="shared" si="0"/>
        <v>4</v>
      </c>
      <c r="C7" s="44">
        <f t="shared" si="1"/>
        <v>43920</v>
      </c>
      <c r="D7" s="51">
        <v>139816.65</v>
      </c>
      <c r="E7" s="9">
        <f t="shared" si="2"/>
        <v>-0.11322670361495935</v>
      </c>
      <c r="G7" s="43">
        <f t="shared" si="3"/>
        <v>4</v>
      </c>
      <c r="H7" s="44">
        <f t="shared" si="4"/>
        <v>43920</v>
      </c>
      <c r="I7" s="51">
        <v>17463.060000000005</v>
      </c>
      <c r="J7" s="9">
        <f t="shared" si="5"/>
        <v>-0.40436151990127622</v>
      </c>
      <c r="L7" s="43">
        <f t="shared" si="6"/>
        <v>4</v>
      </c>
      <c r="M7" s="44">
        <f t="shared" si="7"/>
        <v>43920</v>
      </c>
      <c r="N7" s="51">
        <v>3.6017008584186332</v>
      </c>
      <c r="O7" s="9">
        <f t="shared" si="8"/>
        <v>-0.46599700441966474</v>
      </c>
      <c r="Q7" t="s">
        <v>153</v>
      </c>
      <c r="R7">
        <v>0.7621029371922361</v>
      </c>
    </row>
    <row r="8" spans="2:24" x14ac:dyDescent="0.3">
      <c r="B8" s="43">
        <f t="shared" si="0"/>
        <v>5</v>
      </c>
      <c r="C8" s="44">
        <f t="shared" si="1"/>
        <v>44285</v>
      </c>
      <c r="D8" s="51">
        <v>156477.4</v>
      </c>
      <c r="E8" s="9">
        <f t="shared" si="2"/>
        <v>0.11916141604022124</v>
      </c>
      <c r="G8" s="43">
        <f t="shared" si="3"/>
        <v>5</v>
      </c>
      <c r="H8" s="44">
        <f t="shared" si="4"/>
        <v>44285</v>
      </c>
      <c r="I8" s="51">
        <v>30504.259999999987</v>
      </c>
      <c r="J8" s="9">
        <f t="shared" si="5"/>
        <v>0.74678779091407677</v>
      </c>
      <c r="L8" s="43">
        <f t="shared" si="6"/>
        <v>5</v>
      </c>
      <c r="M8" s="44">
        <f t="shared" si="7"/>
        <v>44285</v>
      </c>
      <c r="N8" s="51">
        <v>6.6940305367753279</v>
      </c>
      <c r="O8" s="9">
        <f t="shared" si="8"/>
        <v>0.85857482337231539</v>
      </c>
      <c r="Q8" t="s">
        <v>154</v>
      </c>
      <c r="R8">
        <v>0.73236580434126564</v>
      </c>
    </row>
    <row r="9" spans="2:24" x14ac:dyDescent="0.3">
      <c r="B9" s="43">
        <f t="shared" si="0"/>
        <v>6</v>
      </c>
      <c r="C9" s="44">
        <f t="shared" si="1"/>
        <v>44650</v>
      </c>
      <c r="D9" s="51">
        <v>243959.17</v>
      </c>
      <c r="E9" s="9">
        <f t="shared" si="2"/>
        <v>0.55906968035000593</v>
      </c>
      <c r="G9" s="43">
        <f t="shared" si="3"/>
        <v>6</v>
      </c>
      <c r="H9" s="44">
        <f t="shared" si="4"/>
        <v>44650</v>
      </c>
      <c r="I9" s="51">
        <v>63489.950000000012</v>
      </c>
      <c r="J9" s="9">
        <f t="shared" si="5"/>
        <v>1.0813469987470614</v>
      </c>
      <c r="L9" s="43">
        <f t="shared" si="6"/>
        <v>6</v>
      </c>
      <c r="M9" s="44">
        <f t="shared" si="7"/>
        <v>44650</v>
      </c>
      <c r="N9" s="51">
        <v>33.119896831245406</v>
      </c>
      <c r="O9" s="9">
        <f t="shared" si="8"/>
        <v>3.9476763885812867</v>
      </c>
      <c r="Q9" t="s">
        <v>155</v>
      </c>
      <c r="R9">
        <v>27198.016621072544</v>
      </c>
    </row>
    <row r="10" spans="2:24" ht="15" thickBot="1" x14ac:dyDescent="0.35">
      <c r="B10" s="43">
        <f t="shared" si="0"/>
        <v>7</v>
      </c>
      <c r="C10" s="44">
        <f t="shared" si="1"/>
        <v>45015</v>
      </c>
      <c r="D10" s="51">
        <v>243352.69</v>
      </c>
      <c r="E10" s="9">
        <f t="shared" si="2"/>
        <v>-2.4859897662383723E-3</v>
      </c>
      <c r="G10" s="43">
        <f t="shared" si="3"/>
        <v>7</v>
      </c>
      <c r="H10" s="44">
        <f t="shared" si="4"/>
        <v>45015</v>
      </c>
      <c r="I10" s="51">
        <v>32300.160000000018</v>
      </c>
      <c r="J10" s="9">
        <f t="shared" si="5"/>
        <v>-0.49125554516895964</v>
      </c>
      <c r="L10" s="43">
        <f t="shared" si="6"/>
        <v>7</v>
      </c>
      <c r="M10" s="44">
        <f t="shared" si="7"/>
        <v>45015</v>
      </c>
      <c r="N10" s="51">
        <v>5.3238064067422295</v>
      </c>
      <c r="O10" s="9">
        <f t="shared" si="8"/>
        <v>-0.83925655222090745</v>
      </c>
      <c r="Q10" s="45" t="s">
        <v>156</v>
      </c>
      <c r="R10" s="45">
        <v>10</v>
      </c>
    </row>
    <row r="11" spans="2:24" x14ac:dyDescent="0.3">
      <c r="B11" s="43">
        <f t="shared" si="0"/>
        <v>8</v>
      </c>
      <c r="C11" s="44">
        <f t="shared" si="1"/>
        <v>45380</v>
      </c>
      <c r="D11" s="51">
        <v>229170.78</v>
      </c>
      <c r="E11" s="9">
        <f t="shared" si="2"/>
        <v>-5.8277186087402622E-2</v>
      </c>
      <c r="G11" s="43">
        <f t="shared" si="3"/>
        <v>8</v>
      </c>
      <c r="H11" s="44">
        <f t="shared" si="4"/>
        <v>45380</v>
      </c>
      <c r="I11" s="51">
        <v>22247.920000000002</v>
      </c>
      <c r="J11" s="9">
        <f t="shared" si="5"/>
        <v>-0.31121331906715044</v>
      </c>
      <c r="L11" s="43">
        <f t="shared" si="6"/>
        <v>8</v>
      </c>
      <c r="M11" s="44">
        <f t="shared" si="7"/>
        <v>45380</v>
      </c>
      <c r="N11" s="51">
        <v>0.8776545039452095</v>
      </c>
      <c r="O11" s="9">
        <f t="shared" si="8"/>
        <v>-0.83514530076944171</v>
      </c>
    </row>
    <row r="12" spans="2:24" ht="15" thickBot="1" x14ac:dyDescent="0.35">
      <c r="B12" s="43">
        <f t="shared" si="0"/>
        <v>9</v>
      </c>
      <c r="C12" s="44">
        <f t="shared" si="1"/>
        <v>45745</v>
      </c>
      <c r="D12" s="51">
        <v>218542.51</v>
      </c>
      <c r="E12" s="9">
        <f t="shared" si="2"/>
        <v>-4.6377073028245563E-2</v>
      </c>
      <c r="G12" s="43">
        <f t="shared" si="3"/>
        <v>9</v>
      </c>
      <c r="H12" s="44">
        <f t="shared" si="4"/>
        <v>45745</v>
      </c>
      <c r="I12" s="51">
        <v>25298.44999999999</v>
      </c>
      <c r="J12" s="9">
        <f t="shared" si="5"/>
        <v>0.13711528987878352</v>
      </c>
      <c r="L12" s="43">
        <f t="shared" si="6"/>
        <v>9</v>
      </c>
      <c r="M12" s="44">
        <f t="shared" si="7"/>
        <v>45745</v>
      </c>
      <c r="N12" s="51">
        <v>1.8400929226579013</v>
      </c>
      <c r="O12" s="9">
        <f t="shared" si="8"/>
        <v>1.0966028367499554</v>
      </c>
      <c r="Q12" t="s">
        <v>157</v>
      </c>
    </row>
    <row r="13" spans="2:24" x14ac:dyDescent="0.3">
      <c r="B13" s="43">
        <f t="shared" si="0"/>
        <v>10</v>
      </c>
      <c r="C13" s="44">
        <f t="shared" si="1"/>
        <v>46110</v>
      </c>
      <c r="D13" s="51">
        <v>232139.94</v>
      </c>
      <c r="E13" s="9">
        <f t="shared" si="2"/>
        <v>6.2218696033096599E-2</v>
      </c>
      <c r="G13" s="43">
        <f t="shared" si="3"/>
        <v>10</v>
      </c>
      <c r="H13" s="44">
        <f t="shared" si="4"/>
        <v>46110</v>
      </c>
      <c r="I13" s="51">
        <v>34352.44</v>
      </c>
      <c r="J13" s="9">
        <f t="shared" si="5"/>
        <v>0.35788714328348248</v>
      </c>
      <c r="L13" s="43">
        <f t="shared" si="6"/>
        <v>10</v>
      </c>
      <c r="M13" s="44">
        <f t="shared" si="7"/>
        <v>46110</v>
      </c>
      <c r="N13" s="51">
        <v>8.1291304521969039</v>
      </c>
      <c r="O13" s="9">
        <f t="shared" si="8"/>
        <v>3.4177825761401621</v>
      </c>
      <c r="Q13" s="46"/>
      <c r="R13" s="46" t="s">
        <v>161</v>
      </c>
      <c r="S13" s="46" t="s">
        <v>162</v>
      </c>
      <c r="T13" s="46" t="s">
        <v>163</v>
      </c>
      <c r="U13" s="46" t="s">
        <v>164</v>
      </c>
      <c r="V13" s="46" t="s">
        <v>165</v>
      </c>
    </row>
    <row r="14" spans="2:24" x14ac:dyDescent="0.3">
      <c r="B14" s="48">
        <f t="shared" si="0"/>
        <v>11</v>
      </c>
      <c r="C14" s="49">
        <f t="shared" si="1"/>
        <v>46475</v>
      </c>
      <c r="D14" s="52">
        <f>FORECAST(B14,$D$4:$D$13,B$4:B$13)</f>
        <v>269041.58200000005</v>
      </c>
      <c r="E14" s="50">
        <f t="shared" si="2"/>
        <v>0.15896291693708564</v>
      </c>
      <c r="G14" s="48">
        <f t="shared" si="3"/>
        <v>11</v>
      </c>
      <c r="H14" s="49">
        <f t="shared" si="4"/>
        <v>46475</v>
      </c>
      <c r="I14" s="52">
        <f>FORECAST(G14,$I$4:$I$13,$G$4:$G$13)</f>
        <v>37624.51466666667</v>
      </c>
      <c r="J14" s="50">
        <f t="shared" si="5"/>
        <v>9.5250138466631995E-2</v>
      </c>
      <c r="L14" s="48">
        <f t="shared" si="6"/>
        <v>11</v>
      </c>
      <c r="M14" s="49">
        <f t="shared" si="7"/>
        <v>46475</v>
      </c>
      <c r="N14" s="52">
        <f>FORECAST(L14,$N$4:$N$13,$L$4:$L$13)</f>
        <v>8.8336636947997889</v>
      </c>
      <c r="O14" s="50">
        <f t="shared" si="8"/>
        <v>8.6667725010180385E-2</v>
      </c>
      <c r="Q14" t="s">
        <v>158</v>
      </c>
      <c r="R14">
        <v>1</v>
      </c>
      <c r="S14">
        <v>18957846916.817459</v>
      </c>
      <c r="T14">
        <v>18957846916.817459</v>
      </c>
      <c r="U14">
        <v>25.627989793486904</v>
      </c>
      <c r="V14">
        <v>9.7413287980336726E-4</v>
      </c>
    </row>
    <row r="15" spans="2:24" x14ac:dyDescent="0.3">
      <c r="B15" s="48">
        <f t="shared" si="0"/>
        <v>12</v>
      </c>
      <c r="C15" s="49">
        <f t="shared" si="1"/>
        <v>46840</v>
      </c>
      <c r="D15" s="52">
        <f t="shared" ref="D15:D17" si="9">FORECAST(B15,$D$4:$D$13,B$4:B$13)</f>
        <v>284200.47654545458</v>
      </c>
      <c r="E15" s="50">
        <f t="shared" si="2"/>
        <v>5.6344058166646338E-2</v>
      </c>
      <c r="G15" s="48">
        <f t="shared" si="3"/>
        <v>12</v>
      </c>
      <c r="H15" s="49">
        <f t="shared" si="4"/>
        <v>46840</v>
      </c>
      <c r="I15" s="52">
        <f t="shared" ref="I15:I17" si="10">FORECAST(G15,$I$4:$I$13,$G$4:$G$13)</f>
        <v>39200.766787878791</v>
      </c>
      <c r="J15" s="50">
        <f t="shared" si="5"/>
        <v>4.1894284489165656E-2</v>
      </c>
      <c r="K15" s="53"/>
      <c r="L15" s="48">
        <f t="shared" si="6"/>
        <v>12</v>
      </c>
      <c r="M15" s="49">
        <f t="shared" si="7"/>
        <v>46840</v>
      </c>
      <c r="N15" s="52">
        <f t="shared" ref="N15:N17" si="11">FORECAST(L15,$N$4:$N$13,$L$4:$L$13)</f>
        <v>9.1294178987900061</v>
      </c>
      <c r="O15" s="50">
        <f t="shared" si="8"/>
        <v>3.3480355853293675E-2</v>
      </c>
      <c r="Q15" t="s">
        <v>159</v>
      </c>
      <c r="R15">
        <v>8</v>
      </c>
      <c r="S15">
        <v>5917856864.9611073</v>
      </c>
      <c r="T15">
        <v>739732108.12013841</v>
      </c>
    </row>
    <row r="16" spans="2:24" ht="15" thickBot="1" x14ac:dyDescent="0.35">
      <c r="B16" s="48">
        <f t="shared" si="0"/>
        <v>13</v>
      </c>
      <c r="C16" s="49">
        <f t="shared" si="1"/>
        <v>47205</v>
      </c>
      <c r="D16" s="52">
        <f t="shared" si="9"/>
        <v>299359.37109090912</v>
      </c>
      <c r="E16" s="50">
        <f t="shared" si="2"/>
        <v>5.333873725236371E-2</v>
      </c>
      <c r="G16" s="48">
        <f t="shared" si="3"/>
        <v>13</v>
      </c>
      <c r="H16" s="49">
        <f t="shared" si="4"/>
        <v>47205</v>
      </c>
      <c r="I16" s="52">
        <f t="shared" si="10"/>
        <v>40777.018909090912</v>
      </c>
      <c r="J16" s="50">
        <f t="shared" si="5"/>
        <v>4.0209726757169273E-2</v>
      </c>
      <c r="K16" s="53"/>
      <c r="L16" s="48">
        <f t="shared" si="6"/>
        <v>13</v>
      </c>
      <c r="M16" s="49">
        <f t="shared" si="7"/>
        <v>47205</v>
      </c>
      <c r="N16" s="52">
        <f t="shared" si="11"/>
        <v>9.4251721027802233</v>
      </c>
      <c r="O16" s="50">
        <f t="shared" si="8"/>
        <v>3.2395735113562418E-2</v>
      </c>
      <c r="Q16" s="45" t="s">
        <v>12</v>
      </c>
      <c r="R16" s="45">
        <v>9</v>
      </c>
      <c r="S16" s="45">
        <v>24875703781.778564</v>
      </c>
      <c r="T16" s="45"/>
      <c r="U16" s="45"/>
      <c r="V16" s="45"/>
    </row>
    <row r="17" spans="2:25" ht="15" thickBot="1" x14ac:dyDescent="0.35">
      <c r="B17" s="48">
        <f t="shared" si="0"/>
        <v>14</v>
      </c>
      <c r="C17" s="49">
        <f t="shared" si="1"/>
        <v>47570</v>
      </c>
      <c r="D17" s="52">
        <f t="shared" si="9"/>
        <v>314518.26563636365</v>
      </c>
      <c r="E17" s="50">
        <f t="shared" si="2"/>
        <v>5.0637781908123625E-2</v>
      </c>
      <c r="G17" s="48">
        <f t="shared" si="3"/>
        <v>14</v>
      </c>
      <c r="H17" s="49">
        <f t="shared" si="4"/>
        <v>47570</v>
      </c>
      <c r="I17" s="52">
        <f t="shared" si="10"/>
        <v>42353.271030303033</v>
      </c>
      <c r="J17" s="50">
        <f t="shared" si="5"/>
        <v>3.8655403543016442E-2</v>
      </c>
      <c r="K17" s="53"/>
      <c r="L17" s="48">
        <f t="shared" si="6"/>
        <v>14</v>
      </c>
      <c r="M17" s="49">
        <f t="shared" si="7"/>
        <v>47570</v>
      </c>
      <c r="N17" s="52">
        <f t="shared" si="11"/>
        <v>9.7209263067704388</v>
      </c>
      <c r="O17" s="50">
        <f t="shared" si="8"/>
        <v>3.13791834000543E-2</v>
      </c>
    </row>
    <row r="18" spans="2:25" x14ac:dyDescent="0.3">
      <c r="Q18" s="46"/>
      <c r="R18" s="46" t="s">
        <v>166</v>
      </c>
      <c r="S18" s="46" t="s">
        <v>155</v>
      </c>
      <c r="T18" s="46" t="s">
        <v>167</v>
      </c>
      <c r="U18" s="46" t="s">
        <v>168</v>
      </c>
      <c r="V18" s="46" t="s">
        <v>169</v>
      </c>
      <c r="W18" s="46" t="s">
        <v>170</v>
      </c>
      <c r="X18" s="46" t="s">
        <v>171</v>
      </c>
      <c r="Y18" s="46" t="s">
        <v>172</v>
      </c>
    </row>
    <row r="19" spans="2:25" x14ac:dyDescent="0.3">
      <c r="Q19" t="s">
        <v>160</v>
      </c>
      <c r="R19">
        <v>102293.742</v>
      </c>
      <c r="S19">
        <v>18579.782483192081</v>
      </c>
      <c r="T19">
        <v>5.5056479855207394</v>
      </c>
      <c r="U19">
        <v>5.6993576822663805E-4</v>
      </c>
      <c r="V19">
        <v>59448.686762565114</v>
      </c>
      <c r="W19">
        <v>145138.79723743489</v>
      </c>
      <c r="X19">
        <v>59448.686762565114</v>
      </c>
      <c r="Y19">
        <v>145138.79723743489</v>
      </c>
    </row>
    <row r="20" spans="2:25" ht="15" thickBot="1" x14ac:dyDescent="0.35">
      <c r="Q20" s="45" t="s">
        <v>173</v>
      </c>
      <c r="R20" s="45">
        <v>15158.894545454548</v>
      </c>
      <c r="S20" s="45">
        <v>2994.4030783105368</v>
      </c>
      <c r="T20" s="45">
        <v>5.0624094849673016</v>
      </c>
      <c r="U20" s="45">
        <v>9.7413287980336726E-4</v>
      </c>
      <c r="V20" s="45">
        <v>8253.7886644023638</v>
      </c>
      <c r="W20" s="45">
        <v>22064.000426506733</v>
      </c>
      <c r="X20" s="45">
        <v>8253.7886644023638</v>
      </c>
      <c r="Y20" s="45">
        <v>22064.000426506733</v>
      </c>
    </row>
    <row r="26" spans="2:25" x14ac:dyDescent="0.3">
      <c r="S26">
        <v>204737</v>
      </c>
    </row>
  </sheetData>
  <mergeCells count="3">
    <mergeCell ref="B2:E2"/>
    <mergeCell ref="G2:J2"/>
    <mergeCell ref="L2:O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4C87-BB18-44DB-85A6-3F9EA794B317}">
  <dimension ref="B2:N30"/>
  <sheetViews>
    <sheetView workbookViewId="0">
      <selection activeCell="M12" sqref="M12:M13"/>
    </sheetView>
  </sheetViews>
  <sheetFormatPr defaultRowHeight="14.4" x14ac:dyDescent="0.3"/>
  <cols>
    <col min="2" max="2" width="25.77734375" bestFit="1" customWidth="1"/>
    <col min="3" max="4" width="7.109375" bestFit="1" customWidth="1"/>
    <col min="5" max="5" width="7" bestFit="1" customWidth="1"/>
    <col min="6" max="14" width="7.109375" bestFit="1" customWidth="1"/>
  </cols>
  <sheetData>
    <row r="2" spans="2:14" x14ac:dyDescent="0.3">
      <c r="C2" s="81">
        <v>42064</v>
      </c>
      <c r="D2" s="81">
        <v>42430</v>
      </c>
      <c r="E2" s="81">
        <v>42795</v>
      </c>
      <c r="F2" s="81">
        <v>43160</v>
      </c>
      <c r="G2" s="81">
        <v>43525</v>
      </c>
      <c r="H2" s="81">
        <v>43891</v>
      </c>
      <c r="I2" s="81">
        <v>44256</v>
      </c>
      <c r="J2" s="81">
        <v>44621</v>
      </c>
      <c r="K2" s="81">
        <v>44986</v>
      </c>
      <c r="L2" s="81">
        <v>45352</v>
      </c>
      <c r="M2" s="81">
        <v>45717</v>
      </c>
      <c r="N2" s="81">
        <v>46082</v>
      </c>
    </row>
    <row r="3" spans="2:14" x14ac:dyDescent="0.3">
      <c r="B3" s="8" t="s">
        <v>85</v>
      </c>
      <c r="C3" s="22">
        <v>11880</v>
      </c>
      <c r="D3" s="22">
        <v>11455</v>
      </c>
      <c r="E3" s="22">
        <v>10824</v>
      </c>
      <c r="F3" s="22">
        <v>8023</v>
      </c>
      <c r="G3" s="22">
        <v>25336</v>
      </c>
      <c r="H3" s="22">
        <v>20169</v>
      </c>
      <c r="I3" s="22">
        <v>44327</v>
      </c>
      <c r="J3" s="22">
        <v>44381</v>
      </c>
      <c r="K3" s="22">
        <v>21683</v>
      </c>
      <c r="L3" s="22">
        <v>20301</v>
      </c>
      <c r="M3" s="22">
        <v>23138</v>
      </c>
      <c r="N3" s="22">
        <v>35064</v>
      </c>
    </row>
    <row r="4" spans="2:14" x14ac:dyDescent="0.3">
      <c r="B4" t="s">
        <v>86</v>
      </c>
      <c r="C4" s="22">
        <v>13955</v>
      </c>
      <c r="D4" s="22">
        <v>6824</v>
      </c>
      <c r="E4" s="22">
        <v>17581</v>
      </c>
      <c r="F4" s="22">
        <v>20187</v>
      </c>
      <c r="G4" s="22">
        <v>27840</v>
      </c>
      <c r="H4" s="22">
        <v>18078</v>
      </c>
      <c r="I4" s="22">
        <v>28540</v>
      </c>
      <c r="J4" s="22">
        <v>65900</v>
      </c>
      <c r="K4" s="22">
        <v>30908</v>
      </c>
      <c r="L4" s="22">
        <v>22237</v>
      </c>
      <c r="M4" s="22">
        <v>23929</v>
      </c>
      <c r="N4" s="22">
        <v>34219</v>
      </c>
    </row>
    <row r="5" spans="2:14" x14ac:dyDescent="0.3">
      <c r="B5" t="s">
        <v>42</v>
      </c>
      <c r="C5" s="22">
        <v>1442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2:14" x14ac:dyDescent="0.3">
      <c r="B6" t="s">
        <v>29</v>
      </c>
      <c r="C6">
        <v>-485</v>
      </c>
      <c r="D6" s="22">
        <v>5618</v>
      </c>
      <c r="E6" s="22">
        <v>-8243</v>
      </c>
      <c r="F6" s="22">
        <v>-1595</v>
      </c>
      <c r="G6" s="22">
        <v>-1069</v>
      </c>
      <c r="H6" s="22">
        <v>1562</v>
      </c>
      <c r="I6">
        <v>46</v>
      </c>
      <c r="J6" s="22">
        <v>-16917</v>
      </c>
      <c r="K6" s="22">
        <v>-4031</v>
      </c>
      <c r="L6" s="22">
        <v>5566</v>
      </c>
      <c r="M6" s="22">
        <v>4776</v>
      </c>
      <c r="N6" s="22">
        <v>1290</v>
      </c>
    </row>
    <row r="7" spans="2:14" x14ac:dyDescent="0.3">
      <c r="B7" t="s">
        <v>87</v>
      </c>
      <c r="C7">
        <v>-605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2:14" x14ac:dyDescent="0.3">
      <c r="B8" t="s">
        <v>88</v>
      </c>
      <c r="C8">
        <v>0</v>
      </c>
      <c r="D8">
        <v>548</v>
      </c>
      <c r="E8" s="22">
        <v>3329</v>
      </c>
      <c r="F8" s="22">
        <v>-7680</v>
      </c>
      <c r="G8" s="22">
        <v>3659</v>
      </c>
      <c r="H8" s="22">
        <v>2634</v>
      </c>
      <c r="I8" s="22">
        <v>16446</v>
      </c>
      <c r="J8" s="22">
        <v>7299</v>
      </c>
      <c r="K8">
        <v>325</v>
      </c>
      <c r="L8" s="22">
        <v>-2182</v>
      </c>
      <c r="M8" s="22">
        <v>-2569</v>
      </c>
      <c r="N8" s="22">
        <v>4152</v>
      </c>
    </row>
    <row r="9" spans="2:14" x14ac:dyDescent="0.3">
      <c r="B9" t="s">
        <v>89</v>
      </c>
      <c r="C9">
        <v>351</v>
      </c>
      <c r="D9" s="22">
        <v>6166</v>
      </c>
      <c r="E9" s="22">
        <v>-4914</v>
      </c>
      <c r="F9" s="22">
        <v>-9276</v>
      </c>
      <c r="G9" s="22">
        <v>2591</v>
      </c>
      <c r="H9" s="22">
        <v>4196</v>
      </c>
      <c r="I9" s="22">
        <v>16491</v>
      </c>
      <c r="J9" s="22">
        <v>-9618</v>
      </c>
      <c r="K9" s="22">
        <v>-3706</v>
      </c>
      <c r="L9" s="22">
        <v>3384</v>
      </c>
      <c r="M9" s="22">
        <v>2207</v>
      </c>
      <c r="N9" s="22">
        <v>5442</v>
      </c>
    </row>
    <row r="10" spans="2:14" x14ac:dyDescent="0.3">
      <c r="B10" t="s">
        <v>90</v>
      </c>
      <c r="C10" s="22">
        <v>-2427</v>
      </c>
      <c r="D10" s="22">
        <v>-1534</v>
      </c>
      <c r="E10" s="22">
        <v>-1843</v>
      </c>
      <c r="F10" s="22">
        <v>-2888</v>
      </c>
      <c r="G10" s="22">
        <v>-5094</v>
      </c>
      <c r="H10" s="22">
        <v>-2106</v>
      </c>
      <c r="I10">
        <v>-704</v>
      </c>
      <c r="J10" s="22">
        <v>-11902</v>
      </c>
      <c r="K10" s="22">
        <v>-5519</v>
      </c>
      <c r="L10" s="22">
        <v>-5320</v>
      </c>
      <c r="M10" s="22">
        <v>-2998</v>
      </c>
      <c r="N10" s="22">
        <v>-4597</v>
      </c>
    </row>
    <row r="11" spans="2:14" x14ac:dyDescent="0.3">
      <c r="B11" s="8" t="s">
        <v>91</v>
      </c>
      <c r="C11" s="22">
        <v>-9021</v>
      </c>
      <c r="D11" s="22">
        <v>-8794</v>
      </c>
      <c r="E11" s="22">
        <v>-9490</v>
      </c>
      <c r="F11" s="22">
        <v>-11730</v>
      </c>
      <c r="G11" s="22">
        <v>-29176</v>
      </c>
      <c r="H11" s="22">
        <v>-14012</v>
      </c>
      <c r="I11" s="22">
        <v>-9437</v>
      </c>
      <c r="J11" s="22">
        <v>-10905</v>
      </c>
      <c r="K11" s="22">
        <v>-18179</v>
      </c>
      <c r="L11" s="22">
        <v>-14253</v>
      </c>
      <c r="M11" s="22">
        <v>-13611</v>
      </c>
      <c r="N11" s="22">
        <v>-14397</v>
      </c>
    </row>
    <row r="12" spans="2:14" x14ac:dyDescent="0.3">
      <c r="B12" t="s">
        <v>92</v>
      </c>
      <c r="C12" s="22">
        <v>-13492</v>
      </c>
      <c r="D12" s="22">
        <v>-10163</v>
      </c>
      <c r="E12" s="22">
        <v>-7716</v>
      </c>
      <c r="F12" s="22">
        <v>-7478</v>
      </c>
      <c r="G12" s="22">
        <v>-9091</v>
      </c>
      <c r="H12" s="22">
        <v>-10398</v>
      </c>
      <c r="I12" s="22">
        <v>-6979</v>
      </c>
      <c r="J12" s="22">
        <v>-10522</v>
      </c>
      <c r="K12" s="22">
        <v>-14142</v>
      </c>
      <c r="L12" s="22">
        <v>-18207</v>
      </c>
      <c r="M12" s="22">
        <v>-15671</v>
      </c>
      <c r="N12" s="22">
        <v>-14559</v>
      </c>
    </row>
    <row r="13" spans="2:14" x14ac:dyDescent="0.3">
      <c r="B13" t="s">
        <v>93</v>
      </c>
      <c r="C13" s="22">
        <v>1444</v>
      </c>
      <c r="D13">
        <v>231</v>
      </c>
      <c r="E13">
        <v>289</v>
      </c>
      <c r="F13">
        <v>179</v>
      </c>
      <c r="G13">
        <v>467</v>
      </c>
      <c r="H13">
        <v>386</v>
      </c>
      <c r="I13">
        <v>445</v>
      </c>
      <c r="J13">
        <v>569</v>
      </c>
      <c r="K13">
        <v>328</v>
      </c>
      <c r="L13">
        <v>475</v>
      </c>
      <c r="M13" s="22">
        <v>1264</v>
      </c>
      <c r="N13" s="22">
        <v>1401</v>
      </c>
    </row>
    <row r="14" spans="2:14" x14ac:dyDescent="0.3">
      <c r="B14" t="s">
        <v>94</v>
      </c>
      <c r="C14" s="22">
        <v>1531</v>
      </c>
      <c r="D14" s="22">
        <v>-3796</v>
      </c>
      <c r="E14">
        <v>-861</v>
      </c>
      <c r="F14" s="22">
        <v>-8641</v>
      </c>
      <c r="G14">
        <v>-490</v>
      </c>
      <c r="H14">
        <v>-828</v>
      </c>
      <c r="I14" s="22">
        <v>-3631</v>
      </c>
      <c r="J14" s="22">
        <v>-1153</v>
      </c>
      <c r="K14">
        <v>-326</v>
      </c>
      <c r="L14">
        <v>-4</v>
      </c>
      <c r="M14">
        <v>-393</v>
      </c>
      <c r="N14">
        <v>-553</v>
      </c>
    </row>
    <row r="15" spans="2:14" x14ac:dyDescent="0.3">
      <c r="B15" t="s">
        <v>95</v>
      </c>
      <c r="C15">
        <v>262</v>
      </c>
      <c r="D15" s="22">
        <v>4275</v>
      </c>
      <c r="E15">
        <v>91</v>
      </c>
      <c r="F15" s="22">
        <v>3899</v>
      </c>
      <c r="G15" s="22">
        <v>13556</v>
      </c>
      <c r="H15">
        <v>121</v>
      </c>
      <c r="I15">
        <v>0</v>
      </c>
      <c r="J15">
        <v>63</v>
      </c>
      <c r="K15" s="22">
        <v>5191</v>
      </c>
      <c r="L15" s="22">
        <v>3171</v>
      </c>
      <c r="M15">
        <v>554</v>
      </c>
      <c r="N15">
        <v>20</v>
      </c>
    </row>
    <row r="16" spans="2:14" x14ac:dyDescent="0.3">
      <c r="B16" t="s">
        <v>96</v>
      </c>
      <c r="C16">
        <v>211</v>
      </c>
      <c r="D16">
        <v>133</v>
      </c>
      <c r="E16">
        <v>140</v>
      </c>
      <c r="F16">
        <v>254</v>
      </c>
      <c r="G16">
        <v>175</v>
      </c>
      <c r="H16">
        <v>203</v>
      </c>
      <c r="I16">
        <v>266</v>
      </c>
      <c r="J16">
        <v>137</v>
      </c>
      <c r="K16">
        <v>248</v>
      </c>
      <c r="L16">
        <v>333</v>
      </c>
      <c r="M16">
        <v>616</v>
      </c>
      <c r="N16">
        <v>650</v>
      </c>
    </row>
    <row r="17" spans="2:14" x14ac:dyDescent="0.3">
      <c r="B17" t="s">
        <v>97</v>
      </c>
      <c r="C17">
        <v>127</v>
      </c>
      <c r="D17">
        <v>108</v>
      </c>
      <c r="E17">
        <v>85</v>
      </c>
      <c r="F17">
        <v>111</v>
      </c>
      <c r="G17">
        <v>148</v>
      </c>
      <c r="H17">
        <v>103</v>
      </c>
      <c r="I17">
        <v>135</v>
      </c>
      <c r="J17">
        <v>162</v>
      </c>
      <c r="K17">
        <v>317</v>
      </c>
      <c r="L17">
        <v>336</v>
      </c>
      <c r="M17">
        <v>294</v>
      </c>
      <c r="N17">
        <v>408</v>
      </c>
    </row>
    <row r="18" spans="2:14" x14ac:dyDescent="0.3">
      <c r="B18" t="s">
        <v>98</v>
      </c>
      <c r="C18" s="22">
        <v>1301</v>
      </c>
      <c r="D18">
        <v>0</v>
      </c>
      <c r="E18">
        <v>0</v>
      </c>
      <c r="F18">
        <v>34</v>
      </c>
      <c r="G18">
        <v>156</v>
      </c>
      <c r="H18">
        <v>378</v>
      </c>
      <c r="I18">
        <v>90</v>
      </c>
      <c r="J18" s="22">
        <v>1208</v>
      </c>
      <c r="K18">
        <v>166</v>
      </c>
      <c r="L18">
        <v>123</v>
      </c>
      <c r="M18">
        <v>28</v>
      </c>
      <c r="N18">
        <v>611</v>
      </c>
    </row>
    <row r="19" spans="2:14" x14ac:dyDescent="0.3">
      <c r="B19" t="s">
        <v>99</v>
      </c>
      <c r="C19">
        <v>-108</v>
      </c>
      <c r="D19">
        <v>-78</v>
      </c>
      <c r="E19" s="22">
        <v>-1081</v>
      </c>
      <c r="F19">
        <v>-255</v>
      </c>
      <c r="G19" s="22">
        <v>-34569</v>
      </c>
      <c r="H19" s="22">
        <v>-4433</v>
      </c>
      <c r="I19">
        <v>0</v>
      </c>
      <c r="J19">
        <v>-53</v>
      </c>
      <c r="K19" s="22">
        <v>-10569</v>
      </c>
      <c r="L19">
        <v>0</v>
      </c>
      <c r="M19">
        <v>-6</v>
      </c>
      <c r="N19" s="22">
        <v>-2846</v>
      </c>
    </row>
    <row r="20" spans="2:14" x14ac:dyDescent="0.3">
      <c r="B20" t="s">
        <v>100</v>
      </c>
      <c r="C20">
        <v>277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101</v>
      </c>
      <c r="C21">
        <v>-573</v>
      </c>
      <c r="D21">
        <v>496</v>
      </c>
      <c r="E21">
        <v>-437</v>
      </c>
      <c r="F21">
        <v>166</v>
      </c>
      <c r="G21">
        <v>471</v>
      </c>
      <c r="H21">
        <v>456</v>
      </c>
      <c r="I21">
        <v>236</v>
      </c>
      <c r="J21" s="22">
        <v>-1315</v>
      </c>
      <c r="K21">
        <v>609</v>
      </c>
      <c r="L21">
        <v>-481</v>
      </c>
      <c r="M21">
        <v>-298</v>
      </c>
      <c r="N21">
        <v>472</v>
      </c>
    </row>
    <row r="22" spans="2:14" x14ac:dyDescent="0.3">
      <c r="B22" s="8" t="s">
        <v>102</v>
      </c>
      <c r="C22" s="22">
        <v>-2617</v>
      </c>
      <c r="D22" s="22">
        <v>-4729</v>
      </c>
      <c r="E22" s="22">
        <v>-2579</v>
      </c>
      <c r="F22" s="22">
        <v>6640</v>
      </c>
      <c r="G22">
        <v>-673</v>
      </c>
      <c r="H22" s="22">
        <v>-1695</v>
      </c>
      <c r="I22" s="22">
        <v>-37090</v>
      </c>
      <c r="J22" s="22">
        <v>-23401</v>
      </c>
      <c r="K22" s="22">
        <v>-6981</v>
      </c>
      <c r="L22" s="22">
        <v>-11097</v>
      </c>
      <c r="M22" s="22">
        <v>-7002</v>
      </c>
      <c r="N22" s="22">
        <v>-21387</v>
      </c>
    </row>
    <row r="23" spans="2:14" x14ac:dyDescent="0.3">
      <c r="B23" t="s">
        <v>103</v>
      </c>
      <c r="C23">
        <v>13</v>
      </c>
      <c r="D23">
        <v>0</v>
      </c>
      <c r="E23">
        <v>652</v>
      </c>
      <c r="F23" s="22">
        <v>9087</v>
      </c>
      <c r="G23">
        <v>0</v>
      </c>
      <c r="H23">
        <v>188</v>
      </c>
      <c r="I23" s="22">
        <v>3239</v>
      </c>
      <c r="J23">
        <v>326</v>
      </c>
      <c r="K23">
        <v>1</v>
      </c>
      <c r="L23">
        <v>0</v>
      </c>
      <c r="M23">
        <v>0</v>
      </c>
      <c r="N23">
        <v>0</v>
      </c>
    </row>
    <row r="24" spans="2:14" x14ac:dyDescent="0.3">
      <c r="B24" t="s">
        <v>104</v>
      </c>
      <c r="C24">
        <v>0</v>
      </c>
      <c r="D24">
        <v>0</v>
      </c>
      <c r="E24">
        <v>0</v>
      </c>
      <c r="F24">
        <v>0</v>
      </c>
      <c r="G24" s="22">
        <v>33344</v>
      </c>
      <c r="H24" s="22">
        <v>16574</v>
      </c>
      <c r="I24" s="22">
        <v>9801</v>
      </c>
      <c r="J24" s="22">
        <v>12439</v>
      </c>
      <c r="K24" s="22">
        <v>16769</v>
      </c>
      <c r="L24" s="22">
        <v>14120</v>
      </c>
      <c r="M24" s="22">
        <v>23893</v>
      </c>
      <c r="N24" s="22">
        <v>15954</v>
      </c>
    </row>
    <row r="25" spans="2:14" x14ac:dyDescent="0.3">
      <c r="B25" t="s">
        <v>105</v>
      </c>
      <c r="C25">
        <v>0</v>
      </c>
      <c r="D25">
        <v>0</v>
      </c>
      <c r="E25">
        <v>0</v>
      </c>
      <c r="F25">
        <v>0</v>
      </c>
      <c r="G25" s="22">
        <v>-25077</v>
      </c>
      <c r="H25" s="22">
        <v>-7937</v>
      </c>
      <c r="I25" s="22">
        <v>-39177</v>
      </c>
      <c r="J25" s="22">
        <v>-26360</v>
      </c>
      <c r="K25" s="22">
        <v>-10226</v>
      </c>
      <c r="L25" s="22">
        <v>-11908</v>
      </c>
      <c r="M25" s="22">
        <v>-17627</v>
      </c>
      <c r="N25" s="22">
        <v>-23916</v>
      </c>
    </row>
    <row r="26" spans="2:14" x14ac:dyDescent="0.3">
      <c r="B26" t="s">
        <v>106</v>
      </c>
      <c r="C26" s="22">
        <v>-5428</v>
      </c>
      <c r="D26" s="22">
        <v>-5483</v>
      </c>
      <c r="E26" s="22">
        <v>-4733</v>
      </c>
      <c r="F26" s="22">
        <v>-5146</v>
      </c>
      <c r="G26" s="22">
        <v>-6901</v>
      </c>
      <c r="H26" s="22">
        <v>-7419</v>
      </c>
      <c r="I26" s="22">
        <v>-6804</v>
      </c>
      <c r="J26" s="22">
        <v>-4687</v>
      </c>
      <c r="K26" s="22">
        <v>-6120</v>
      </c>
      <c r="L26" s="22">
        <v>-8145</v>
      </c>
      <c r="M26" s="22">
        <v>-8119</v>
      </c>
      <c r="N26" s="22">
        <v>-8066</v>
      </c>
    </row>
    <row r="27" spans="2:14" x14ac:dyDescent="0.3">
      <c r="B27" t="s">
        <v>107</v>
      </c>
      <c r="C27">
        <v>-983</v>
      </c>
      <c r="D27">
        <v>-788</v>
      </c>
      <c r="E27">
        <v>-791</v>
      </c>
      <c r="F27">
        <v>-982</v>
      </c>
      <c r="G27" s="22">
        <v>-1186</v>
      </c>
      <c r="H27" s="22">
        <v>-1507</v>
      </c>
      <c r="I27" s="22">
        <v>-1151</v>
      </c>
      <c r="J27" s="22">
        <v>-3020</v>
      </c>
      <c r="K27" s="22">
        <v>-6293</v>
      </c>
      <c r="L27" s="22">
        <v>-4429</v>
      </c>
      <c r="M27" s="22">
        <v>-4490</v>
      </c>
      <c r="N27" s="22">
        <v>-4490</v>
      </c>
    </row>
    <row r="28" spans="2:14" x14ac:dyDescent="0.3">
      <c r="B28" t="s">
        <v>108</v>
      </c>
      <c r="C28">
        <v>0</v>
      </c>
      <c r="D28">
        <v>-200</v>
      </c>
      <c r="E28">
        <v>-208</v>
      </c>
      <c r="F28">
        <v>-211</v>
      </c>
      <c r="G28">
        <v>-276</v>
      </c>
      <c r="H28" s="22">
        <v>-1029</v>
      </c>
      <c r="I28" s="22">
        <v>-1284</v>
      </c>
      <c r="J28" s="22">
        <v>-1310</v>
      </c>
      <c r="K28" s="22">
        <v>-1114</v>
      </c>
      <c r="L28" s="22">
        <v>-1140</v>
      </c>
      <c r="M28">
        <v>-971</v>
      </c>
      <c r="N28" s="22">
        <v>-1162</v>
      </c>
    </row>
    <row r="29" spans="2:14" x14ac:dyDescent="0.3">
      <c r="B29" t="s">
        <v>109</v>
      </c>
      <c r="C29" s="22">
        <v>3781</v>
      </c>
      <c r="D29" s="22">
        <v>1743</v>
      </c>
      <c r="E29" s="22">
        <v>2501</v>
      </c>
      <c r="F29" s="22">
        <v>3892</v>
      </c>
      <c r="G29">
        <v>-576</v>
      </c>
      <c r="H29">
        <v>-564</v>
      </c>
      <c r="I29" s="22">
        <v>-1714</v>
      </c>
      <c r="J29">
        <v>-789</v>
      </c>
      <c r="K29">
        <v>2</v>
      </c>
      <c r="L29">
        <v>404</v>
      </c>
      <c r="M29">
        <v>312</v>
      </c>
      <c r="N29">
        <v>293</v>
      </c>
    </row>
    <row r="30" spans="2:14" x14ac:dyDescent="0.3">
      <c r="B30" t="s">
        <v>20</v>
      </c>
      <c r="C30">
        <v>241</v>
      </c>
      <c r="D30" s="22">
        <v>-2068</v>
      </c>
      <c r="E30" s="22">
        <v>-1245</v>
      </c>
      <c r="F30" s="22">
        <v>2933</v>
      </c>
      <c r="G30" s="22">
        <v>-4513</v>
      </c>
      <c r="H30" s="22">
        <v>4462</v>
      </c>
      <c r="I30" s="22">
        <v>-2200</v>
      </c>
      <c r="J30" s="22">
        <v>10075</v>
      </c>
      <c r="K30" s="22">
        <v>-3477</v>
      </c>
      <c r="L30" s="22">
        <v>-5049</v>
      </c>
      <c r="M30" s="22">
        <v>2524</v>
      </c>
      <c r="N30">
        <v>-720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0195-6AE3-47E0-9C70-D3E31CEDDA5E}">
  <dimension ref="A2:T41"/>
  <sheetViews>
    <sheetView showGridLines="0" topLeftCell="A2" zoomScale="101" workbookViewId="0">
      <selection activeCell="N34" sqref="N34"/>
    </sheetView>
  </sheetViews>
  <sheetFormatPr defaultRowHeight="14.4" x14ac:dyDescent="0.3"/>
  <cols>
    <col min="1" max="1" width="2.33203125" customWidth="1"/>
    <col min="2" max="2" width="19.5546875" customWidth="1"/>
    <col min="3" max="3" width="10" bestFit="1" customWidth="1"/>
    <col min="4" max="4" width="8.33203125" customWidth="1"/>
    <col min="5" max="5" width="9" customWidth="1"/>
    <col min="6" max="6" width="8.6640625" customWidth="1"/>
    <col min="7" max="7" width="7.21875" customWidth="1"/>
    <col min="9" max="9" width="9.44140625" bestFit="1" customWidth="1"/>
    <col min="10" max="10" width="10.5546875" customWidth="1"/>
    <col min="11" max="11" width="8.88671875" customWidth="1"/>
    <col min="14" max="14" width="19.33203125" bestFit="1" customWidth="1"/>
    <col min="15" max="15" width="11.44140625" bestFit="1" customWidth="1"/>
  </cols>
  <sheetData>
    <row r="2" spans="1:20" x14ac:dyDescent="0.3">
      <c r="B2" s="179" t="s">
        <v>174</v>
      </c>
      <c r="C2" s="179"/>
    </row>
    <row r="3" spans="1:20" x14ac:dyDescent="0.3">
      <c r="B3" s="180" t="s">
        <v>358</v>
      </c>
      <c r="C3" s="180"/>
      <c r="D3" s="180"/>
      <c r="E3" s="180"/>
      <c r="F3" s="180"/>
      <c r="G3" s="180"/>
      <c r="H3" s="180"/>
      <c r="I3" s="180"/>
      <c r="J3" s="180"/>
    </row>
    <row r="4" spans="1:20" x14ac:dyDescent="0.3">
      <c r="B4" s="180"/>
      <c r="C4" s="180"/>
      <c r="D4" s="180"/>
      <c r="E4" s="180"/>
      <c r="F4" s="180"/>
      <c r="G4" s="180"/>
      <c r="H4" s="180"/>
      <c r="I4" s="180"/>
      <c r="J4" s="180"/>
    </row>
    <row r="5" spans="1:20" x14ac:dyDescent="0.3">
      <c r="A5" t="s">
        <v>57</v>
      </c>
      <c r="B5" s="8" t="s">
        <v>175</v>
      </c>
    </row>
    <row r="6" spans="1:20" x14ac:dyDescent="0.3">
      <c r="B6" s="58"/>
      <c r="C6" s="58"/>
      <c r="D6" s="58"/>
      <c r="E6" s="58"/>
      <c r="F6" s="58"/>
      <c r="G6" s="58" t="s">
        <v>180</v>
      </c>
      <c r="H6" s="58" t="s">
        <v>180</v>
      </c>
      <c r="I6" s="58" t="s">
        <v>183</v>
      </c>
      <c r="J6" s="58" t="s">
        <v>184</v>
      </c>
      <c r="N6" s="58"/>
      <c r="O6" s="58"/>
      <c r="P6" s="58"/>
      <c r="Q6" s="58"/>
      <c r="R6" s="58"/>
      <c r="S6" s="58" t="s">
        <v>180</v>
      </c>
      <c r="T6" s="58" t="s">
        <v>180</v>
      </c>
    </row>
    <row r="7" spans="1:20" ht="16.2" x14ac:dyDescent="0.3">
      <c r="B7" s="61" t="s">
        <v>176</v>
      </c>
      <c r="C7" s="61" t="s">
        <v>177</v>
      </c>
      <c r="D7" s="61" t="s">
        <v>236</v>
      </c>
      <c r="E7" s="61" t="s">
        <v>181</v>
      </c>
      <c r="F7" s="61" t="s">
        <v>185</v>
      </c>
      <c r="G7" s="61" t="s">
        <v>181</v>
      </c>
      <c r="H7" s="61" t="s">
        <v>182</v>
      </c>
      <c r="I7" s="61" t="s">
        <v>186</v>
      </c>
      <c r="J7" s="61" t="s">
        <v>187</v>
      </c>
      <c r="N7" s="61" t="s">
        <v>176</v>
      </c>
      <c r="O7" s="61" t="s">
        <v>177</v>
      </c>
      <c r="P7" s="61" t="s">
        <v>236</v>
      </c>
      <c r="Q7" s="61" t="s">
        <v>181</v>
      </c>
      <c r="R7" s="61" t="s">
        <v>185</v>
      </c>
      <c r="S7" s="61" t="s">
        <v>181</v>
      </c>
      <c r="T7" s="61" t="s">
        <v>182</v>
      </c>
    </row>
    <row r="9" spans="1:20" x14ac:dyDescent="0.3">
      <c r="B9" s="113" t="s">
        <v>210</v>
      </c>
      <c r="C9" s="113" t="s">
        <v>188</v>
      </c>
      <c r="D9" s="159">
        <v>99310</v>
      </c>
      <c r="E9" s="159">
        <v>324022.65000000002</v>
      </c>
      <c r="F9" s="160">
        <v>0.3</v>
      </c>
      <c r="G9" s="161">
        <f>D9/E9</f>
        <v>0.30649091969342263</v>
      </c>
      <c r="H9" s="161">
        <f>D9/(E9+D9)</f>
        <v>0.23459092985150093</v>
      </c>
      <c r="I9" s="162">
        <v>0.63</v>
      </c>
      <c r="J9" s="163">
        <f>I9/(1+(1-F9)*G9)</f>
        <v>0.51871334819757042</v>
      </c>
      <c r="N9" s="8" t="s">
        <v>214</v>
      </c>
      <c r="O9" t="s">
        <v>188</v>
      </c>
      <c r="P9" s="71">
        <v>92381.68</v>
      </c>
      <c r="Q9" s="71">
        <v>235189.51</v>
      </c>
      <c r="R9" s="56">
        <v>0.3</v>
      </c>
      <c r="S9" s="9">
        <f>P9/Q9</f>
        <v>0.39279677057025203</v>
      </c>
      <c r="T9" s="9">
        <f>P9/(Q9+P9)</f>
        <v>0.28202016178529005</v>
      </c>
    </row>
    <row r="10" spans="1:20" x14ac:dyDescent="0.3">
      <c r="B10" s="113" t="s">
        <v>211</v>
      </c>
      <c r="C10" s="113" t="s">
        <v>188</v>
      </c>
      <c r="D10" s="159">
        <v>31927.71</v>
      </c>
      <c r="E10" s="159">
        <v>81288.740000000005</v>
      </c>
      <c r="F10" s="160">
        <v>0.3</v>
      </c>
      <c r="G10" s="161">
        <f t="shared" ref="G10:G12" si="0">D10/E10</f>
        <v>0.39276915843448917</v>
      </c>
      <c r="H10" s="161">
        <f t="shared" ref="H10:H12" si="1">D10/(E10+D10)</f>
        <v>0.28200592758384491</v>
      </c>
      <c r="I10" s="162">
        <v>1.05</v>
      </c>
      <c r="J10" s="163">
        <f t="shared" ref="J10:J12" si="2">I10/(1+(1-F10)*G10)</f>
        <v>0.82356919441730225</v>
      </c>
    </row>
    <row r="11" spans="1:20" x14ac:dyDescent="0.3">
      <c r="B11" s="113" t="s">
        <v>212</v>
      </c>
      <c r="C11" s="113" t="s">
        <v>188</v>
      </c>
      <c r="D11" s="159">
        <v>22609.55</v>
      </c>
      <c r="E11" s="159">
        <v>118840.26</v>
      </c>
      <c r="F11" s="160">
        <v>0.3</v>
      </c>
      <c r="G11" s="161">
        <f t="shared" si="0"/>
        <v>0.19025160328663029</v>
      </c>
      <c r="H11" s="161">
        <f t="shared" si="1"/>
        <v>0.15984150137776784</v>
      </c>
      <c r="I11" s="162">
        <v>0.67</v>
      </c>
      <c r="J11" s="163">
        <f t="shared" si="2"/>
        <v>0.59125848737416598</v>
      </c>
    </row>
    <row r="12" spans="1:20" x14ac:dyDescent="0.3">
      <c r="B12" s="113" t="s">
        <v>213</v>
      </c>
      <c r="C12" s="113" t="s">
        <v>188</v>
      </c>
      <c r="D12" s="159">
        <v>7460.33</v>
      </c>
      <c r="E12" s="159">
        <v>60829.8</v>
      </c>
      <c r="F12" s="160">
        <v>0.3</v>
      </c>
      <c r="G12" s="161">
        <f t="shared" si="0"/>
        <v>0.12264268499978628</v>
      </c>
      <c r="H12" s="161">
        <f t="shared" si="1"/>
        <v>0.10924463022694494</v>
      </c>
      <c r="I12" s="162">
        <v>0.55000000000000004</v>
      </c>
      <c r="J12" s="163">
        <f t="shared" si="2"/>
        <v>0.50651568912392719</v>
      </c>
      <c r="R12" s="72"/>
    </row>
    <row r="14" spans="1:20" x14ac:dyDescent="0.3">
      <c r="E14" s="74" t="s">
        <v>189</v>
      </c>
      <c r="F14" s="59">
        <f>AVERAGE(F9:F12)</f>
        <v>0.3</v>
      </c>
      <c r="G14" s="59">
        <f>AVERAGE(G9:G12)</f>
        <v>0.25303859160358211</v>
      </c>
      <c r="H14" s="59">
        <f>AVERAGE(H9:H12)</f>
        <v>0.19642074726001468</v>
      </c>
      <c r="I14" s="60">
        <f>AVERAGE(I9:I12)</f>
        <v>0.72500000000000009</v>
      </c>
      <c r="J14" s="60">
        <f>AVERAGE(J9:J12)</f>
        <v>0.61001417977824146</v>
      </c>
    </row>
    <row r="15" spans="1:20" ht="15" thickBot="1" x14ac:dyDescent="0.35">
      <c r="E15" s="172" t="s">
        <v>147</v>
      </c>
      <c r="F15" s="173">
        <f>MEDIAN(F9:F12)</f>
        <v>0.3</v>
      </c>
      <c r="G15" s="173">
        <f>MEDIAN(G9:G12)</f>
        <v>0.24837126149002647</v>
      </c>
      <c r="H15" s="173">
        <f>MEDIAN(H9:H12)</f>
        <v>0.19721621561463437</v>
      </c>
      <c r="I15" s="174">
        <f>MEDIAN(I9:I12)</f>
        <v>0.65</v>
      </c>
      <c r="J15" s="174">
        <f>MEDIAN(J9:J12)</f>
        <v>0.55498591778586825</v>
      </c>
    </row>
    <row r="16" spans="1:20" x14ac:dyDescent="0.3">
      <c r="K16" s="57"/>
    </row>
    <row r="18" spans="2:10" x14ac:dyDescent="0.3">
      <c r="B18" s="62" t="s">
        <v>190</v>
      </c>
      <c r="C18" s="61"/>
      <c r="D18" s="61"/>
      <c r="G18" s="62" t="s">
        <v>194</v>
      </c>
      <c r="H18" s="61"/>
      <c r="I18" s="61"/>
      <c r="J18" s="61"/>
    </row>
    <row r="20" spans="2:10" x14ac:dyDescent="0.3">
      <c r="B20" s="113" t="s">
        <v>191</v>
      </c>
      <c r="C20" s="113"/>
      <c r="D20" s="164">
        <v>8.5000000000000006E-2</v>
      </c>
      <c r="G20" s="113" t="s">
        <v>195</v>
      </c>
      <c r="H20" s="113"/>
      <c r="I20" s="113"/>
      <c r="J20" s="165">
        <v>6.8900000000000003E-2</v>
      </c>
    </row>
    <row r="21" spans="2:10" x14ac:dyDescent="0.3">
      <c r="B21" s="113" t="s">
        <v>192</v>
      </c>
      <c r="C21" s="113"/>
      <c r="D21" s="116">
        <f>R9</f>
        <v>0.3</v>
      </c>
      <c r="G21" s="113" t="s">
        <v>196</v>
      </c>
      <c r="H21" s="113"/>
      <c r="I21" s="113"/>
      <c r="J21" s="166">
        <f>RM!G7-WACC!J20</f>
        <v>8.3711538461538462E-2</v>
      </c>
    </row>
    <row r="22" spans="2:10" ht="16.8" thickBot="1" x14ac:dyDescent="0.35">
      <c r="B22" s="169" t="s">
        <v>193</v>
      </c>
      <c r="C22" s="169"/>
      <c r="D22" s="170">
        <f>D20*(1-D21)</f>
        <v>5.9499999999999997E-2</v>
      </c>
      <c r="G22" s="113" t="s">
        <v>234</v>
      </c>
      <c r="H22" s="113"/>
      <c r="I22" s="113"/>
      <c r="J22" s="167">
        <f>J31</f>
        <v>0.64994546760377603</v>
      </c>
    </row>
    <row r="23" spans="2:10" ht="15" thickBot="1" x14ac:dyDescent="0.35">
      <c r="G23" s="169" t="s">
        <v>194</v>
      </c>
      <c r="H23" s="169"/>
      <c r="I23" s="169"/>
      <c r="J23" s="170">
        <f>J20+(J21*J22)</f>
        <v>0.12330793500921611</v>
      </c>
    </row>
    <row r="26" spans="2:10" x14ac:dyDescent="0.3">
      <c r="G26" s="62" t="s">
        <v>201</v>
      </c>
      <c r="H26" s="62"/>
      <c r="I26" s="62"/>
      <c r="J26" s="62"/>
    </row>
    <row r="27" spans="2:10" x14ac:dyDescent="0.3">
      <c r="B27" s="62" t="s">
        <v>197</v>
      </c>
      <c r="C27" s="61"/>
      <c r="D27" s="61"/>
      <c r="E27" s="61"/>
    </row>
    <row r="28" spans="2:10" x14ac:dyDescent="0.3">
      <c r="G28" s="113" t="s">
        <v>202</v>
      </c>
      <c r="H28" s="113"/>
      <c r="I28" s="113"/>
      <c r="J28" s="167">
        <f>J15</f>
        <v>0.55498591778586825</v>
      </c>
    </row>
    <row r="29" spans="2:10" x14ac:dyDescent="0.3">
      <c r="D29" s="64" t="s">
        <v>198</v>
      </c>
      <c r="E29" s="64" t="s">
        <v>199</v>
      </c>
      <c r="G29" s="113" t="s">
        <v>203</v>
      </c>
      <c r="H29" s="113"/>
      <c r="I29" s="113"/>
      <c r="J29" s="117">
        <f>E35</f>
        <v>0.24443232772657295</v>
      </c>
    </row>
    <row r="30" spans="2:10" x14ac:dyDescent="0.3">
      <c r="B30" s="113" t="s">
        <v>178</v>
      </c>
      <c r="C30" s="159">
        <f>P9</f>
        <v>92381.68</v>
      </c>
      <c r="D30" s="161">
        <f>C30/$C$32</f>
        <v>0.28202016178529005</v>
      </c>
      <c r="E30" s="161">
        <f>H14</f>
        <v>0.19642074726001468</v>
      </c>
      <c r="G30" s="113" t="s">
        <v>204</v>
      </c>
      <c r="H30" s="113"/>
      <c r="I30" s="113"/>
      <c r="J30" s="116">
        <f>R9</f>
        <v>0.3</v>
      </c>
    </row>
    <row r="31" spans="2:10" ht="15" thickBot="1" x14ac:dyDescent="0.35">
      <c r="B31" s="113" t="s">
        <v>179</v>
      </c>
      <c r="C31" s="159">
        <f>Q9</f>
        <v>235189.51</v>
      </c>
      <c r="D31" s="161">
        <f t="shared" ref="D31:D32" si="3">C31/$C$32</f>
        <v>0.7179798382147099</v>
      </c>
      <c r="E31" s="117">
        <f>E32-E30</f>
        <v>0.80357925273998532</v>
      </c>
      <c r="G31" s="119" t="s">
        <v>201</v>
      </c>
      <c r="H31" s="119"/>
      <c r="I31" s="119"/>
      <c r="J31" s="168">
        <f>J28*(1+(1-J30)*J29)</f>
        <v>0.64994546760377603</v>
      </c>
    </row>
    <row r="32" spans="2:10" ht="15" thickBot="1" x14ac:dyDescent="0.35">
      <c r="B32" s="169" t="s">
        <v>200</v>
      </c>
      <c r="C32" s="169">
        <f>SUM(C30:C31)</f>
        <v>327571.19</v>
      </c>
      <c r="D32" s="171">
        <f t="shared" si="3"/>
        <v>1</v>
      </c>
      <c r="E32" s="171">
        <f>D32</f>
        <v>1</v>
      </c>
    </row>
    <row r="34" spans="2:10" x14ac:dyDescent="0.3">
      <c r="G34" s="62" t="s">
        <v>206</v>
      </c>
      <c r="H34" s="61"/>
      <c r="I34" s="61"/>
      <c r="J34" s="61"/>
    </row>
    <row r="35" spans="2:10" x14ac:dyDescent="0.3">
      <c r="B35" s="8" t="s">
        <v>205</v>
      </c>
      <c r="D35" s="27">
        <f>D30/D31</f>
        <v>0.39279677057025197</v>
      </c>
      <c r="E35" s="27">
        <f>E30/E31</f>
        <v>0.24443232772657295</v>
      </c>
    </row>
    <row r="36" spans="2:10" x14ac:dyDescent="0.3">
      <c r="I36" s="8" t="s">
        <v>208</v>
      </c>
      <c r="J36" s="8" t="s">
        <v>209</v>
      </c>
    </row>
    <row r="37" spans="2:10" x14ac:dyDescent="0.3">
      <c r="G37" s="113" t="s">
        <v>207</v>
      </c>
      <c r="H37" s="113"/>
      <c r="I37" s="117">
        <f>D22</f>
        <v>5.9499999999999997E-2</v>
      </c>
      <c r="J37" s="117">
        <f>E30</f>
        <v>0.19642074726001468</v>
      </c>
    </row>
    <row r="38" spans="2:10" x14ac:dyDescent="0.3">
      <c r="G38" s="113" t="s">
        <v>181</v>
      </c>
      <c r="H38" s="113"/>
      <c r="I38" s="117">
        <f>J23</f>
        <v>0.12330793500921611</v>
      </c>
      <c r="J38" s="117">
        <f>E31</f>
        <v>0.80357925273998532</v>
      </c>
    </row>
    <row r="39" spans="2:10" x14ac:dyDescent="0.3">
      <c r="G39" s="113" t="s">
        <v>12</v>
      </c>
      <c r="H39" s="113"/>
      <c r="I39" s="117">
        <f>SUM(I37:I38)</f>
        <v>0.1828079350092161</v>
      </c>
      <c r="J39" s="117">
        <f t="shared" ref="J39" si="4">SUM(J37:J38)</f>
        <v>1</v>
      </c>
    </row>
    <row r="41" spans="2:10" x14ac:dyDescent="0.3">
      <c r="G41" s="111" t="s">
        <v>235</v>
      </c>
      <c r="H41" s="111"/>
      <c r="I41" s="112">
        <f>(I37*J37)+(I38*J38)</f>
        <v>0.11077473273358743</v>
      </c>
    </row>
  </sheetData>
  <mergeCells count="2">
    <mergeCell ref="B2:C2"/>
    <mergeCell ref="B3:J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12E7-48DC-40FB-A2E1-6D910AFF3100}">
  <dimension ref="A2:K126"/>
  <sheetViews>
    <sheetView showGridLines="0" zoomScale="102" workbookViewId="0">
      <selection activeCell="K17" sqref="K17"/>
    </sheetView>
  </sheetViews>
  <sheetFormatPr defaultRowHeight="14.4" x14ac:dyDescent="0.3"/>
  <cols>
    <col min="1" max="1" width="7.5546875" bestFit="1" customWidth="1"/>
    <col min="2" max="4" width="10" customWidth="1"/>
    <col min="6" max="6" width="9.6640625" bestFit="1" customWidth="1"/>
    <col min="10" max="10" width="17.21875" bestFit="1" customWidth="1"/>
    <col min="11" max="11" width="9.5546875" bestFit="1" customWidth="1"/>
  </cols>
  <sheetData>
    <row r="2" spans="1:11" x14ac:dyDescent="0.3">
      <c r="A2" s="181" t="s">
        <v>215</v>
      </c>
      <c r="B2" s="181"/>
      <c r="C2" s="181"/>
      <c r="F2" s="181" t="s">
        <v>219</v>
      </c>
      <c r="G2" s="181"/>
    </row>
    <row r="3" spans="1:11" x14ac:dyDescent="0.3">
      <c r="A3" s="181"/>
      <c r="B3" s="181"/>
      <c r="C3" s="181"/>
      <c r="F3" s="181"/>
      <c r="G3" s="181"/>
    </row>
    <row r="4" spans="1:11" x14ac:dyDescent="0.3">
      <c r="A4" s="181"/>
      <c r="B4" s="181"/>
      <c r="C4" s="181"/>
      <c r="F4" s="181"/>
      <c r="G4" s="181"/>
    </row>
    <row r="5" spans="1:11" ht="28.8" x14ac:dyDescent="0.3">
      <c r="A5" s="65" t="s">
        <v>216</v>
      </c>
      <c r="B5" s="65" t="s">
        <v>218</v>
      </c>
      <c r="C5" s="65" t="s">
        <v>217</v>
      </c>
      <c r="D5" s="65"/>
      <c r="F5" s="65" t="s">
        <v>218</v>
      </c>
      <c r="G5" s="65" t="s">
        <v>217</v>
      </c>
    </row>
    <row r="6" spans="1:11" x14ac:dyDescent="0.3">
      <c r="A6" s="66">
        <v>42736</v>
      </c>
      <c r="B6" s="70">
        <v>78.930000000000007</v>
      </c>
      <c r="C6" s="67"/>
      <c r="D6" s="67"/>
      <c r="F6" s="68">
        <v>8561.2999999999993</v>
      </c>
      <c r="J6" s="8" t="s">
        <v>220</v>
      </c>
      <c r="K6" s="57">
        <f>SLOPE(C62:C121,G62:G121)</f>
        <v>1.2320132034009939</v>
      </c>
    </row>
    <row r="7" spans="1:11" x14ac:dyDescent="0.3">
      <c r="A7" s="66">
        <v>42767</v>
      </c>
      <c r="B7" s="70">
        <v>123.55</v>
      </c>
      <c r="C7" s="69">
        <f>B7/B6-1</f>
        <v>0.56531103509438729</v>
      </c>
      <c r="D7" s="67"/>
      <c r="F7" s="68">
        <v>8879.6</v>
      </c>
      <c r="G7" s="9">
        <f>(F7/F6)-1</f>
        <v>3.7178933105953771E-2</v>
      </c>
    </row>
    <row r="8" spans="1:11" x14ac:dyDescent="0.3">
      <c r="A8" s="66">
        <v>42795</v>
      </c>
      <c r="B8" s="70">
        <v>119.36</v>
      </c>
      <c r="C8" s="69">
        <f t="shared" ref="C8:C71" si="0">B8/B7-1</f>
        <v>-3.3913395386483192E-2</v>
      </c>
      <c r="D8" s="67"/>
      <c r="F8" s="68">
        <v>9173.7000000000007</v>
      </c>
      <c r="G8" s="9">
        <f t="shared" ref="G8:G71" si="1">(F8/F7)-1</f>
        <v>3.3120861300058646E-2</v>
      </c>
    </row>
    <row r="9" spans="1:11" x14ac:dyDescent="0.3">
      <c r="A9" s="66">
        <v>42826</v>
      </c>
      <c r="B9" s="70">
        <v>112.31</v>
      </c>
      <c r="C9" s="69">
        <f t="shared" si="0"/>
        <v>-5.9065013404825728E-2</v>
      </c>
      <c r="D9" s="67"/>
      <c r="F9" s="68">
        <v>9304</v>
      </c>
      <c r="G9" s="9">
        <f t="shared" si="1"/>
        <v>1.4203647383280282E-2</v>
      </c>
      <c r="J9" s="8" t="s">
        <v>221</v>
      </c>
    </row>
    <row r="10" spans="1:11" x14ac:dyDescent="0.3">
      <c r="A10" s="66">
        <v>42856</v>
      </c>
      <c r="B10" s="70">
        <v>119.71</v>
      </c>
      <c r="C10" s="69">
        <f t="shared" si="0"/>
        <v>6.5889057074169699E-2</v>
      </c>
      <c r="D10" s="67"/>
      <c r="F10" s="68">
        <v>9621.2000000000007</v>
      </c>
      <c r="G10" s="9">
        <f t="shared" si="1"/>
        <v>3.4092863284608921E-2</v>
      </c>
    </row>
    <row r="11" spans="1:11" x14ac:dyDescent="0.3">
      <c r="A11" s="66">
        <v>42887</v>
      </c>
      <c r="B11" s="70">
        <v>121.38</v>
      </c>
      <c r="C11" s="69">
        <f t="shared" si="0"/>
        <v>1.3950380085205882E-2</v>
      </c>
      <c r="D11" s="67"/>
      <c r="F11" s="68">
        <v>9520.9</v>
      </c>
      <c r="G11" s="9">
        <f t="shared" si="1"/>
        <v>-1.0424895023489866E-2</v>
      </c>
      <c r="J11" t="s">
        <v>223</v>
      </c>
      <c r="K11" s="57">
        <f>K6</f>
        <v>1.2320132034009939</v>
      </c>
    </row>
    <row r="12" spans="1:11" x14ac:dyDescent="0.3">
      <c r="A12" s="66">
        <v>42917</v>
      </c>
      <c r="B12" s="70">
        <v>150.82</v>
      </c>
      <c r="C12" s="69">
        <f t="shared" si="0"/>
        <v>0.24254407645411113</v>
      </c>
      <c r="D12" s="67"/>
      <c r="F12" s="68">
        <v>10077</v>
      </c>
      <c r="G12" s="9">
        <f t="shared" si="1"/>
        <v>5.8408343749015268E-2</v>
      </c>
      <c r="J12" t="s">
        <v>224</v>
      </c>
      <c r="K12">
        <v>0.75</v>
      </c>
    </row>
    <row r="13" spans="1:11" x14ac:dyDescent="0.3">
      <c r="A13" s="66">
        <v>42948</v>
      </c>
      <c r="B13" s="70">
        <v>135.09</v>
      </c>
      <c r="C13" s="69">
        <f t="shared" si="0"/>
        <v>-0.10429651239888604</v>
      </c>
      <c r="D13" s="67"/>
      <c r="F13" s="68">
        <v>9917.9</v>
      </c>
      <c r="G13" s="9">
        <f t="shared" si="1"/>
        <v>-1.5788429095961121E-2</v>
      </c>
    </row>
    <row r="14" spans="1:11" x14ac:dyDescent="0.3">
      <c r="A14" s="66">
        <v>42979</v>
      </c>
      <c r="B14" s="70">
        <v>133.27000000000001</v>
      </c>
      <c r="C14" s="69">
        <f t="shared" si="0"/>
        <v>-1.3472499814938144E-2</v>
      </c>
      <c r="D14" s="67"/>
      <c r="F14" s="68">
        <v>9788.6</v>
      </c>
      <c r="G14" s="9">
        <f t="shared" si="1"/>
        <v>-1.3037034049546703E-2</v>
      </c>
      <c r="J14" t="s">
        <v>225</v>
      </c>
      <c r="K14">
        <v>1</v>
      </c>
    </row>
    <row r="15" spans="1:11" x14ac:dyDescent="0.3">
      <c r="A15" s="66">
        <v>43009</v>
      </c>
      <c r="B15" s="70">
        <v>161.16999999999999</v>
      </c>
      <c r="C15" s="69">
        <f t="shared" si="0"/>
        <v>0.20934944098446739</v>
      </c>
      <c r="D15" s="67"/>
      <c r="F15" s="68">
        <v>10335</v>
      </c>
      <c r="G15" s="9">
        <f t="shared" si="1"/>
        <v>5.5820035551559899E-2</v>
      </c>
      <c r="J15" t="s">
        <v>226</v>
      </c>
      <c r="K15">
        <v>0.25</v>
      </c>
    </row>
    <row r="16" spans="1:11" x14ac:dyDescent="0.3">
      <c r="A16" s="66">
        <v>43040</v>
      </c>
      <c r="B16" s="70">
        <v>169.4</v>
      </c>
      <c r="C16" s="69">
        <f t="shared" si="0"/>
        <v>5.1064093813985245E-2</v>
      </c>
      <c r="D16" s="67"/>
      <c r="F16" s="68">
        <v>10226</v>
      </c>
      <c r="G16" s="9">
        <f t="shared" si="1"/>
        <v>-1.0546686018384155E-2</v>
      </c>
    </row>
    <row r="17" spans="1:11" x14ac:dyDescent="0.3">
      <c r="A17" s="66">
        <v>43070</v>
      </c>
      <c r="B17" s="70">
        <v>202.14</v>
      </c>
      <c r="C17" s="69">
        <f t="shared" si="0"/>
        <v>0.19327036599763869</v>
      </c>
      <c r="D17" s="67"/>
      <c r="F17" s="68">
        <v>10530</v>
      </c>
      <c r="G17" s="9">
        <f t="shared" si="1"/>
        <v>2.9728143946802232E-2</v>
      </c>
      <c r="J17" s="8" t="s">
        <v>222</v>
      </c>
      <c r="K17" s="57">
        <f>(K11*K12)+(K14*K15)</f>
        <v>1.1740099025507453</v>
      </c>
    </row>
    <row r="18" spans="1:11" x14ac:dyDescent="0.3">
      <c r="A18" s="66">
        <v>43101</v>
      </c>
      <c r="B18" s="70">
        <v>261.75</v>
      </c>
      <c r="C18" s="69">
        <f t="shared" si="0"/>
        <v>0.29489462748590101</v>
      </c>
      <c r="D18" s="67"/>
      <c r="F18" s="68">
        <v>11027.7</v>
      </c>
      <c r="G18" s="9">
        <f t="shared" si="1"/>
        <v>4.7264957264957275E-2</v>
      </c>
    </row>
    <row r="19" spans="1:11" x14ac:dyDescent="0.3">
      <c r="A19" s="66">
        <v>43132</v>
      </c>
      <c r="B19" s="70">
        <v>250.12</v>
      </c>
      <c r="C19" s="69">
        <f t="shared" si="0"/>
        <v>-4.4431709646609363E-2</v>
      </c>
      <c r="D19" s="67"/>
      <c r="F19" s="68">
        <v>10492.85</v>
      </c>
      <c r="G19" s="9">
        <f t="shared" si="1"/>
        <v>-4.8500593958849092E-2</v>
      </c>
    </row>
    <row r="20" spans="1:11" x14ac:dyDescent="0.3">
      <c r="A20" s="66">
        <v>43160</v>
      </c>
      <c r="B20" s="70">
        <v>214.96</v>
      </c>
      <c r="C20" s="69">
        <f t="shared" si="0"/>
        <v>-0.14057252518790975</v>
      </c>
      <c r="D20" s="67"/>
      <c r="F20" s="68">
        <v>10113.700000000001</v>
      </c>
      <c r="G20" s="9">
        <f t="shared" si="1"/>
        <v>-3.6134129430993478E-2</v>
      </c>
    </row>
    <row r="21" spans="1:11" x14ac:dyDescent="0.3">
      <c r="A21" s="66">
        <v>43191</v>
      </c>
      <c r="B21" s="70">
        <v>248</v>
      </c>
      <c r="C21" s="69">
        <f t="shared" si="0"/>
        <v>0.15370301451432811</v>
      </c>
      <c r="D21" s="67"/>
      <c r="F21" s="68">
        <v>10739.35</v>
      </c>
      <c r="G21" s="9">
        <f t="shared" si="1"/>
        <v>6.1861633230172908E-2</v>
      </c>
    </row>
    <row r="22" spans="1:11" x14ac:dyDescent="0.3">
      <c r="A22" s="66">
        <v>43221</v>
      </c>
      <c r="B22" s="70">
        <v>225.76</v>
      </c>
      <c r="C22" s="69">
        <f t="shared" si="0"/>
        <v>-8.967741935483875E-2</v>
      </c>
      <c r="D22" s="67"/>
      <c r="F22" s="68">
        <v>10736.15</v>
      </c>
      <c r="G22" s="9">
        <f t="shared" si="1"/>
        <v>-2.9796961641070929E-4</v>
      </c>
    </row>
    <row r="23" spans="1:11" x14ac:dyDescent="0.3">
      <c r="A23" s="66">
        <v>43252</v>
      </c>
      <c r="B23" s="70">
        <v>219.5</v>
      </c>
      <c r="C23" s="69">
        <f t="shared" si="0"/>
        <v>-2.7728561304039667E-2</v>
      </c>
      <c r="D23" s="67"/>
      <c r="F23" s="68">
        <v>10714.3</v>
      </c>
      <c r="G23" s="9">
        <f t="shared" si="1"/>
        <v>-2.0351802089203508E-3</v>
      </c>
    </row>
    <row r="24" spans="1:11" x14ac:dyDescent="0.3">
      <c r="A24" s="66">
        <v>43282</v>
      </c>
      <c r="B24" s="70">
        <v>201.55</v>
      </c>
      <c r="C24" s="69">
        <f t="shared" si="0"/>
        <v>-8.177676537585421E-2</v>
      </c>
      <c r="D24" s="67"/>
      <c r="F24" s="68">
        <v>11356.5</v>
      </c>
      <c r="G24" s="9">
        <f t="shared" si="1"/>
        <v>5.9938586748551126E-2</v>
      </c>
    </row>
    <row r="25" spans="1:11" x14ac:dyDescent="0.3">
      <c r="A25" s="66">
        <v>43313</v>
      </c>
      <c r="B25" s="70">
        <v>216.88</v>
      </c>
      <c r="C25" s="69">
        <f t="shared" si="0"/>
        <v>7.6060530885636135E-2</v>
      </c>
      <c r="D25" s="67"/>
      <c r="F25" s="68">
        <v>11680.5</v>
      </c>
      <c r="G25" s="9">
        <f t="shared" si="1"/>
        <v>2.8529916787742637E-2</v>
      </c>
    </row>
    <row r="26" spans="1:11" x14ac:dyDescent="0.3">
      <c r="A26" s="66">
        <v>43344</v>
      </c>
      <c r="B26" s="70">
        <v>193.07</v>
      </c>
      <c r="C26" s="69">
        <f t="shared" si="0"/>
        <v>-0.10978421246772407</v>
      </c>
      <c r="D26" s="67"/>
      <c r="F26" s="68">
        <v>10930.45</v>
      </c>
      <c r="G26" s="9">
        <f t="shared" si="1"/>
        <v>-6.42138607080176E-2</v>
      </c>
    </row>
    <row r="27" spans="1:11" x14ac:dyDescent="0.3">
      <c r="A27" s="66">
        <v>43374</v>
      </c>
      <c r="B27" s="70">
        <v>167.88</v>
      </c>
      <c r="C27" s="69">
        <f t="shared" si="0"/>
        <v>-0.13047081369451496</v>
      </c>
      <c r="D27" s="67"/>
      <c r="F27" s="68">
        <v>10386.6</v>
      </c>
      <c r="G27" s="9">
        <f t="shared" si="1"/>
        <v>-4.975549954484948E-2</v>
      </c>
    </row>
    <row r="28" spans="1:11" x14ac:dyDescent="0.3">
      <c r="A28" s="66">
        <v>43405</v>
      </c>
      <c r="B28" s="70">
        <v>152.15</v>
      </c>
      <c r="C28" s="69">
        <f t="shared" si="0"/>
        <v>-9.3697879437693588E-2</v>
      </c>
      <c r="D28" s="67"/>
      <c r="F28" s="68">
        <v>10876.75</v>
      </c>
      <c r="G28" s="9">
        <f t="shared" si="1"/>
        <v>4.7190610979531256E-2</v>
      </c>
    </row>
    <row r="29" spans="1:11" x14ac:dyDescent="0.3">
      <c r="A29" s="66">
        <v>43435</v>
      </c>
      <c r="B29" s="70">
        <v>162.44999999999999</v>
      </c>
      <c r="C29" s="69">
        <f t="shared" si="0"/>
        <v>6.7696352283930228E-2</v>
      </c>
      <c r="D29" s="67"/>
      <c r="F29" s="68">
        <v>10862.55</v>
      </c>
      <c r="G29" s="9">
        <f t="shared" si="1"/>
        <v>-1.3055370400165689E-3</v>
      </c>
    </row>
    <row r="30" spans="1:11" x14ac:dyDescent="0.3">
      <c r="A30" s="66">
        <v>43466</v>
      </c>
      <c r="B30" s="70">
        <v>133.12</v>
      </c>
      <c r="C30" s="69">
        <f t="shared" si="0"/>
        <v>-0.18054786088027075</v>
      </c>
      <c r="D30" s="67"/>
      <c r="F30" s="68">
        <v>10830.95</v>
      </c>
      <c r="G30" s="9">
        <f t="shared" si="1"/>
        <v>-2.909077518630343E-3</v>
      </c>
    </row>
    <row r="31" spans="1:11" x14ac:dyDescent="0.3">
      <c r="A31" s="66">
        <v>43497</v>
      </c>
      <c r="B31" s="70">
        <v>154.71</v>
      </c>
      <c r="C31" s="69">
        <f t="shared" si="0"/>
        <v>0.16218449519230771</v>
      </c>
      <c r="D31" s="67"/>
      <c r="F31" s="68">
        <v>10792.5</v>
      </c>
      <c r="G31" s="9">
        <f t="shared" si="1"/>
        <v>-3.5500117718206825E-3</v>
      </c>
    </row>
    <row r="32" spans="1:11" x14ac:dyDescent="0.3">
      <c r="A32" s="66">
        <v>43525</v>
      </c>
      <c r="B32" s="70">
        <v>177.34</v>
      </c>
      <c r="C32" s="69">
        <f t="shared" si="0"/>
        <v>0.1462736733242842</v>
      </c>
      <c r="D32" s="67"/>
      <c r="F32" s="68">
        <v>11623.9</v>
      </c>
      <c r="G32" s="9">
        <f t="shared" si="1"/>
        <v>7.7034977993977183E-2</v>
      </c>
    </row>
    <row r="33" spans="1:7" x14ac:dyDescent="0.3">
      <c r="A33" s="66">
        <v>43556</v>
      </c>
      <c r="B33" s="70">
        <v>175.67</v>
      </c>
      <c r="C33" s="69">
        <f t="shared" si="0"/>
        <v>-9.4169392128116147E-3</v>
      </c>
      <c r="D33" s="67"/>
      <c r="F33" s="68">
        <v>11748.15</v>
      </c>
      <c r="G33" s="9">
        <f t="shared" si="1"/>
        <v>1.0689183492631482E-2</v>
      </c>
    </row>
    <row r="34" spans="1:7" x14ac:dyDescent="0.3">
      <c r="A34" s="66">
        <v>43586</v>
      </c>
      <c r="B34" s="70">
        <v>157.38</v>
      </c>
      <c r="C34" s="69">
        <f t="shared" si="0"/>
        <v>-0.1041156714293846</v>
      </c>
      <c r="D34" s="67"/>
      <c r="F34" s="68">
        <v>11922.8</v>
      </c>
      <c r="G34" s="9">
        <f t="shared" si="1"/>
        <v>1.4866170418321056E-2</v>
      </c>
    </row>
    <row r="35" spans="1:7" x14ac:dyDescent="0.3">
      <c r="A35" s="66">
        <v>43617</v>
      </c>
      <c r="B35" s="70">
        <v>140.02000000000001</v>
      </c>
      <c r="C35" s="69">
        <f t="shared" si="0"/>
        <v>-0.11030626509086283</v>
      </c>
      <c r="D35" s="67"/>
      <c r="F35" s="68">
        <v>11788.85</v>
      </c>
      <c r="G35" s="9">
        <f t="shared" si="1"/>
        <v>-1.1234777065789792E-2</v>
      </c>
    </row>
    <row r="36" spans="1:7" x14ac:dyDescent="0.3">
      <c r="A36" s="66">
        <v>43647</v>
      </c>
      <c r="B36" s="70">
        <v>132.77000000000001</v>
      </c>
      <c r="C36" s="69">
        <f t="shared" si="0"/>
        <v>-5.177831738323091E-2</v>
      </c>
      <c r="D36" s="67"/>
      <c r="F36" s="68">
        <v>11118</v>
      </c>
      <c r="G36" s="9">
        <f t="shared" si="1"/>
        <v>-5.6905465757898344E-2</v>
      </c>
    </row>
    <row r="37" spans="1:7" x14ac:dyDescent="0.3">
      <c r="A37" s="66">
        <v>43678</v>
      </c>
      <c r="B37" s="70">
        <v>95.6</v>
      </c>
      <c r="C37" s="69">
        <f t="shared" si="0"/>
        <v>-0.27995782179709283</v>
      </c>
      <c r="D37" s="67"/>
      <c r="F37" s="68">
        <v>11023.25</v>
      </c>
      <c r="G37" s="9">
        <f t="shared" si="1"/>
        <v>-8.5222162259399603E-3</v>
      </c>
    </row>
    <row r="38" spans="1:7" x14ac:dyDescent="0.3">
      <c r="A38" s="66">
        <v>43709</v>
      </c>
      <c r="B38" s="70">
        <v>102.16</v>
      </c>
      <c r="C38" s="69">
        <f t="shared" si="0"/>
        <v>6.8619246861924665E-2</v>
      </c>
      <c r="D38" s="67"/>
      <c r="F38" s="68">
        <v>11474.45</v>
      </c>
      <c r="G38" s="9">
        <f t="shared" si="1"/>
        <v>4.0931667158052409E-2</v>
      </c>
    </row>
    <row r="39" spans="1:7" x14ac:dyDescent="0.3">
      <c r="A39" s="66">
        <v>43739</v>
      </c>
      <c r="B39" s="70">
        <v>114.14</v>
      </c>
      <c r="C39" s="69">
        <f t="shared" si="0"/>
        <v>0.11726703210649969</v>
      </c>
      <c r="D39" s="67"/>
      <c r="F39" s="68">
        <v>11877.45</v>
      </c>
      <c r="G39" s="9">
        <f t="shared" si="1"/>
        <v>3.5121509091939007E-2</v>
      </c>
    </row>
    <row r="40" spans="1:7" x14ac:dyDescent="0.3">
      <c r="A40" s="66">
        <v>43770</v>
      </c>
      <c r="B40" s="70">
        <v>158.02000000000001</v>
      </c>
      <c r="C40" s="69">
        <f t="shared" si="0"/>
        <v>0.38444016120553703</v>
      </c>
      <c r="D40" s="67"/>
      <c r="F40" s="68">
        <v>12056.05</v>
      </c>
      <c r="G40" s="9">
        <f t="shared" si="1"/>
        <v>1.5036897650589909E-2</v>
      </c>
    </row>
    <row r="41" spans="1:7" x14ac:dyDescent="0.3">
      <c r="A41" s="66">
        <v>43800</v>
      </c>
      <c r="B41" s="70">
        <v>165.31</v>
      </c>
      <c r="C41" s="69">
        <f t="shared" si="0"/>
        <v>4.6133400835337346E-2</v>
      </c>
      <c r="D41" s="67"/>
      <c r="F41" s="68">
        <v>12168.45</v>
      </c>
      <c r="G41" s="9">
        <f t="shared" si="1"/>
        <v>9.3231199273395848E-3</v>
      </c>
    </row>
    <row r="42" spans="1:7" x14ac:dyDescent="0.3">
      <c r="A42" s="66">
        <v>43831</v>
      </c>
      <c r="B42" s="70">
        <v>174.53</v>
      </c>
      <c r="C42" s="69">
        <f t="shared" si="0"/>
        <v>5.5774000362954546E-2</v>
      </c>
      <c r="D42" s="67"/>
      <c r="F42">
        <v>11962.1</v>
      </c>
      <c r="G42" s="9">
        <f t="shared" si="1"/>
        <v>-1.6957788378963667E-2</v>
      </c>
    </row>
    <row r="43" spans="1:7" x14ac:dyDescent="0.3">
      <c r="A43" s="66">
        <v>43862</v>
      </c>
      <c r="B43" s="70">
        <v>150.38</v>
      </c>
      <c r="C43" s="69">
        <f t="shared" si="0"/>
        <v>-0.13837162665444336</v>
      </c>
      <c r="D43" s="67"/>
      <c r="F43">
        <v>11201.75</v>
      </c>
      <c r="G43" s="9">
        <f t="shared" si="1"/>
        <v>-6.3563253943705544E-2</v>
      </c>
    </row>
    <row r="44" spans="1:7" x14ac:dyDescent="0.3">
      <c r="A44" s="66">
        <v>43891</v>
      </c>
      <c r="B44" s="70">
        <v>81.2</v>
      </c>
      <c r="C44" s="69">
        <f t="shared" si="0"/>
        <v>-0.46003457906636513</v>
      </c>
      <c r="D44" s="67"/>
      <c r="F44">
        <v>8597.75</v>
      </c>
      <c r="G44" s="9">
        <f t="shared" si="1"/>
        <v>-0.23246367755038277</v>
      </c>
    </row>
    <row r="45" spans="1:7" x14ac:dyDescent="0.3">
      <c r="A45" s="66">
        <v>43922</v>
      </c>
      <c r="B45" s="70">
        <v>93.13</v>
      </c>
      <c r="C45" s="69">
        <f t="shared" si="0"/>
        <v>0.1469211822660097</v>
      </c>
      <c r="D45" s="67"/>
      <c r="F45">
        <v>9859.9</v>
      </c>
      <c r="G45" s="9">
        <f t="shared" si="1"/>
        <v>0.14680003489284976</v>
      </c>
    </row>
    <row r="46" spans="1:7" x14ac:dyDescent="0.3">
      <c r="A46" s="66">
        <v>43952</v>
      </c>
      <c r="B46" s="70">
        <v>119.51</v>
      </c>
      <c r="C46" s="69">
        <f t="shared" si="0"/>
        <v>0.28325995919682168</v>
      </c>
      <c r="D46" s="67"/>
      <c r="F46">
        <v>9580.2999999999993</v>
      </c>
      <c r="G46" s="9">
        <f t="shared" si="1"/>
        <v>-2.8357285570847601E-2</v>
      </c>
    </row>
    <row r="47" spans="1:7" x14ac:dyDescent="0.3">
      <c r="A47" s="66">
        <v>43983</v>
      </c>
      <c r="B47" s="70">
        <v>159.25</v>
      </c>
      <c r="C47" s="69">
        <f t="shared" si="0"/>
        <v>0.33252447493933546</v>
      </c>
      <c r="D47" s="67"/>
      <c r="F47">
        <v>10302.1</v>
      </c>
      <c r="G47" s="9">
        <f t="shared" si="1"/>
        <v>7.5342108284709441E-2</v>
      </c>
    </row>
    <row r="48" spans="1:7" x14ac:dyDescent="0.3">
      <c r="A48" s="66">
        <v>44013</v>
      </c>
      <c r="B48" s="70">
        <v>182.42</v>
      </c>
      <c r="C48" s="69">
        <f t="shared" si="0"/>
        <v>0.14549450549450538</v>
      </c>
      <c r="D48" s="67"/>
      <c r="F48">
        <v>11073.45</v>
      </c>
      <c r="G48" s="9">
        <f t="shared" si="1"/>
        <v>7.4873084128478595E-2</v>
      </c>
    </row>
    <row r="49" spans="1:7" x14ac:dyDescent="0.3">
      <c r="A49" s="66">
        <v>44044</v>
      </c>
      <c r="B49" s="70">
        <v>201.11</v>
      </c>
      <c r="C49" s="69">
        <f t="shared" si="0"/>
        <v>0.10245587106676912</v>
      </c>
      <c r="D49" s="67"/>
      <c r="F49">
        <v>11387.5</v>
      </c>
      <c r="G49" s="9">
        <f t="shared" si="1"/>
        <v>2.8360628349791472E-2</v>
      </c>
    </row>
    <row r="50" spans="1:7" x14ac:dyDescent="0.3">
      <c r="A50" s="66">
        <v>44075</v>
      </c>
      <c r="B50" s="70">
        <v>181.83</v>
      </c>
      <c r="C50" s="69">
        <f t="shared" si="0"/>
        <v>-9.5867932972005354E-2</v>
      </c>
      <c r="D50" s="67"/>
      <c r="F50">
        <v>11247.55</v>
      </c>
      <c r="G50" s="9">
        <f t="shared" si="1"/>
        <v>-1.2289791437980258E-2</v>
      </c>
    </row>
    <row r="51" spans="1:7" x14ac:dyDescent="0.3">
      <c r="A51" s="66">
        <v>44105</v>
      </c>
      <c r="B51" s="70">
        <v>188.44</v>
      </c>
      <c r="C51" s="69">
        <f t="shared" si="0"/>
        <v>3.6352637078589822E-2</v>
      </c>
      <c r="D51" s="67"/>
      <c r="F51">
        <v>11642.4</v>
      </c>
      <c r="G51" s="9">
        <f t="shared" si="1"/>
        <v>3.5105422958777721E-2</v>
      </c>
    </row>
    <row r="52" spans="1:7" x14ac:dyDescent="0.3">
      <c r="A52" s="66">
        <v>44136</v>
      </c>
      <c r="B52" s="70">
        <v>240.4</v>
      </c>
      <c r="C52" s="69">
        <f t="shared" si="0"/>
        <v>0.2757376353215879</v>
      </c>
      <c r="D52" s="67"/>
      <c r="F52">
        <v>12968.95</v>
      </c>
      <c r="G52" s="9">
        <f t="shared" si="1"/>
        <v>0.11394128358414091</v>
      </c>
    </row>
    <row r="53" spans="1:7" x14ac:dyDescent="0.3">
      <c r="A53" s="66">
        <v>44166</v>
      </c>
      <c r="B53" s="70">
        <v>262.79000000000002</v>
      </c>
      <c r="C53" s="69">
        <f t="shared" si="0"/>
        <v>9.3136439267886839E-2</v>
      </c>
      <c r="D53" s="67"/>
      <c r="F53">
        <v>13981.75</v>
      </c>
      <c r="G53" s="9">
        <f t="shared" si="1"/>
        <v>7.8094217342190353E-2</v>
      </c>
    </row>
    <row r="54" spans="1:7" x14ac:dyDescent="0.3">
      <c r="A54" s="66">
        <v>44197</v>
      </c>
      <c r="B54" s="70">
        <v>255.98</v>
      </c>
      <c r="C54" s="69">
        <f t="shared" si="0"/>
        <v>-2.5914228090871183E-2</v>
      </c>
      <c r="D54" s="67"/>
      <c r="F54">
        <v>13634.6</v>
      </c>
      <c r="G54" s="9">
        <f t="shared" si="1"/>
        <v>-2.4828794678777633E-2</v>
      </c>
    </row>
    <row r="55" spans="1:7" x14ac:dyDescent="0.3">
      <c r="A55" s="66">
        <v>44228</v>
      </c>
      <c r="B55" s="70">
        <v>331.32</v>
      </c>
      <c r="C55" s="69">
        <f t="shared" si="0"/>
        <v>0.29431986873974525</v>
      </c>
      <c r="D55" s="67"/>
      <c r="F55">
        <v>14529.15</v>
      </c>
      <c r="G55" s="9">
        <f t="shared" si="1"/>
        <v>6.5608818740557018E-2</v>
      </c>
    </row>
    <row r="56" spans="1:7" x14ac:dyDescent="0.3">
      <c r="A56" s="66">
        <v>44256</v>
      </c>
      <c r="B56" s="70">
        <v>339.6</v>
      </c>
      <c r="C56" s="69">
        <f t="shared" si="0"/>
        <v>2.4990945309670609E-2</v>
      </c>
      <c r="D56" s="67"/>
      <c r="F56">
        <v>14690.7</v>
      </c>
      <c r="G56" s="9">
        <f t="shared" si="1"/>
        <v>1.111902623346861E-2</v>
      </c>
    </row>
    <row r="57" spans="1:7" x14ac:dyDescent="0.3">
      <c r="A57" s="66">
        <v>44287</v>
      </c>
      <c r="B57" s="70">
        <v>433.77</v>
      </c>
      <c r="C57" s="69">
        <f t="shared" si="0"/>
        <v>0.2772968197879857</v>
      </c>
      <c r="D57" s="67"/>
      <c r="F57">
        <v>14631.1</v>
      </c>
      <c r="G57" s="9">
        <f t="shared" si="1"/>
        <v>-4.0569884348601315E-3</v>
      </c>
    </row>
    <row r="58" spans="1:7" x14ac:dyDescent="0.3">
      <c r="A58" s="66">
        <v>44317</v>
      </c>
      <c r="B58" s="70">
        <v>402.22</v>
      </c>
      <c r="C58" s="69">
        <f t="shared" si="0"/>
        <v>-7.2734398413905832E-2</v>
      </c>
      <c r="D58" s="67"/>
      <c r="F58">
        <v>15582.8</v>
      </c>
      <c r="G58" s="9">
        <f t="shared" si="1"/>
        <v>6.5046373820150105E-2</v>
      </c>
    </row>
    <row r="59" spans="1:7" x14ac:dyDescent="0.3">
      <c r="A59" s="66">
        <v>44348</v>
      </c>
      <c r="B59" s="70">
        <v>392.26</v>
      </c>
      <c r="C59" s="69">
        <f t="shared" si="0"/>
        <v>-2.4762567748993214E-2</v>
      </c>
      <c r="D59" s="67"/>
      <c r="F59">
        <v>15721.5</v>
      </c>
      <c r="G59" s="9">
        <f t="shared" si="1"/>
        <v>8.9008393870164682E-3</v>
      </c>
    </row>
    <row r="60" spans="1:7" x14ac:dyDescent="0.3">
      <c r="A60" s="66">
        <v>44378</v>
      </c>
      <c r="B60" s="70">
        <v>425.83</v>
      </c>
      <c r="C60" s="69">
        <f t="shared" si="0"/>
        <v>8.5580992199051575E-2</v>
      </c>
      <c r="D60" s="67"/>
      <c r="F60">
        <v>15763.05</v>
      </c>
      <c r="G60" s="9">
        <f t="shared" si="1"/>
        <v>2.6428775880162902E-3</v>
      </c>
    </row>
    <row r="61" spans="1:7" x14ac:dyDescent="0.3">
      <c r="A61" s="66">
        <v>44409</v>
      </c>
      <c r="B61" s="70">
        <v>371.65</v>
      </c>
      <c r="C61" s="69">
        <f t="shared" si="0"/>
        <v>-0.1272338726721931</v>
      </c>
      <c r="D61" s="67"/>
      <c r="F61">
        <v>17132.2</v>
      </c>
      <c r="G61" s="9">
        <f t="shared" si="1"/>
        <v>8.6858190515160638E-2</v>
      </c>
    </row>
    <row r="62" spans="1:7" x14ac:dyDescent="0.3">
      <c r="A62" s="66">
        <v>44440</v>
      </c>
      <c r="B62" s="70">
        <v>383.08</v>
      </c>
      <c r="C62" s="69">
        <f t="shared" si="0"/>
        <v>3.0754742365128429E-2</v>
      </c>
      <c r="D62" s="67"/>
      <c r="F62">
        <v>17618.150000000001</v>
      </c>
      <c r="G62" s="9">
        <f t="shared" si="1"/>
        <v>2.8364716732235173E-2</v>
      </c>
    </row>
    <row r="63" spans="1:7" x14ac:dyDescent="0.3">
      <c r="A63" s="66">
        <v>44470</v>
      </c>
      <c r="B63" s="70">
        <v>635</v>
      </c>
      <c r="C63" s="69">
        <f>B63/B62-1</f>
        <v>0.65761720789391265</v>
      </c>
      <c r="D63" s="67"/>
      <c r="F63">
        <v>17671.650000000001</v>
      </c>
      <c r="G63" s="9">
        <f t="shared" si="1"/>
        <v>3.0366411910445201E-3</v>
      </c>
    </row>
    <row r="64" spans="1:7" x14ac:dyDescent="0.3">
      <c r="A64" s="66">
        <v>44501</v>
      </c>
      <c r="B64" s="70">
        <v>578</v>
      </c>
      <c r="C64" s="69">
        <f t="shared" si="0"/>
        <v>-8.9763779527559096E-2</v>
      </c>
      <c r="D64" s="67"/>
      <c r="F64">
        <v>16983.2</v>
      </c>
      <c r="G64" s="9">
        <f t="shared" si="1"/>
        <v>-3.8957878862471818E-2</v>
      </c>
    </row>
    <row r="65" spans="1:7" x14ac:dyDescent="0.3">
      <c r="A65" s="66">
        <v>44531</v>
      </c>
      <c r="B65" s="70">
        <v>623</v>
      </c>
      <c r="C65" s="69">
        <f t="shared" si="0"/>
        <v>7.7854671280276788E-2</v>
      </c>
      <c r="D65" s="67"/>
      <c r="F65">
        <v>17354.05</v>
      </c>
      <c r="G65" s="9">
        <f t="shared" si="1"/>
        <v>2.1836285270149247E-2</v>
      </c>
    </row>
    <row r="66" spans="1:7" x14ac:dyDescent="0.3">
      <c r="A66" s="66">
        <v>44562</v>
      </c>
      <c r="B66" s="70">
        <v>597</v>
      </c>
      <c r="C66" s="69">
        <f t="shared" si="0"/>
        <v>-4.1733547351524902E-2</v>
      </c>
      <c r="D66" s="67"/>
      <c r="F66">
        <v>17339.849999999999</v>
      </c>
      <c r="G66" s="9">
        <f t="shared" si="1"/>
        <v>-8.1825279977876253E-4</v>
      </c>
    </row>
    <row r="67" spans="1:7" x14ac:dyDescent="0.3">
      <c r="A67" s="66">
        <v>44593</v>
      </c>
      <c r="B67" s="70">
        <v>596</v>
      </c>
      <c r="C67" s="69">
        <f t="shared" si="0"/>
        <v>-1.6750418760469454E-3</v>
      </c>
      <c r="D67" s="67"/>
      <c r="F67">
        <v>16793.900000000001</v>
      </c>
      <c r="G67" s="9">
        <f t="shared" si="1"/>
        <v>-3.1485278131010208E-2</v>
      </c>
    </row>
    <row r="68" spans="1:7" x14ac:dyDescent="0.3">
      <c r="A68" s="66">
        <v>44621</v>
      </c>
      <c r="B68" s="70">
        <v>696</v>
      </c>
      <c r="C68" s="69">
        <f t="shared" si="0"/>
        <v>0.16778523489932895</v>
      </c>
      <c r="D68" s="67"/>
      <c r="F68">
        <v>17464.75</v>
      </c>
      <c r="G68" s="9">
        <f t="shared" si="1"/>
        <v>3.9946051840251462E-2</v>
      </c>
    </row>
    <row r="69" spans="1:7" x14ac:dyDescent="0.3">
      <c r="A69" s="66">
        <v>44652</v>
      </c>
      <c r="B69" s="70">
        <v>691</v>
      </c>
      <c r="C69" s="69">
        <f t="shared" si="0"/>
        <v>-7.1839080459770166E-3</v>
      </c>
      <c r="D69" s="67"/>
      <c r="F69">
        <v>17102.55</v>
      </c>
      <c r="G69" s="9">
        <f t="shared" si="1"/>
        <v>-2.0738916961307807E-2</v>
      </c>
    </row>
    <row r="70" spans="1:7" x14ac:dyDescent="0.3">
      <c r="A70" s="66">
        <v>44682</v>
      </c>
      <c r="B70" s="70">
        <v>523</v>
      </c>
      <c r="C70" s="69">
        <f t="shared" si="0"/>
        <v>-0.24312590448625182</v>
      </c>
      <c r="D70" s="67"/>
      <c r="F70">
        <v>16584.55</v>
      </c>
      <c r="G70" s="9">
        <f t="shared" si="1"/>
        <v>-3.0287881046978327E-2</v>
      </c>
    </row>
    <row r="71" spans="1:7" x14ac:dyDescent="0.3">
      <c r="A71" s="66">
        <v>44713</v>
      </c>
      <c r="B71" s="70">
        <v>536</v>
      </c>
      <c r="C71" s="69">
        <f t="shared" si="0"/>
        <v>2.4856596558317401E-2</v>
      </c>
      <c r="D71" s="67"/>
      <c r="F71">
        <v>15780.25</v>
      </c>
      <c r="G71" s="9">
        <f t="shared" si="1"/>
        <v>-4.8496944445281853E-2</v>
      </c>
    </row>
    <row r="72" spans="1:7" x14ac:dyDescent="0.3">
      <c r="A72" s="66">
        <v>44743</v>
      </c>
      <c r="B72" s="70">
        <v>616</v>
      </c>
      <c r="C72" s="69">
        <f t="shared" ref="C72:C122" si="2">B72/B71-1</f>
        <v>0.14925373134328357</v>
      </c>
      <c r="D72" s="67"/>
      <c r="F72">
        <v>17158.25</v>
      </c>
      <c r="G72" s="9">
        <f t="shared" ref="G72:G120" si="3">(F72/F71)-1</f>
        <v>8.7324345305048956E-2</v>
      </c>
    </row>
    <row r="73" spans="1:7" x14ac:dyDescent="0.3">
      <c r="A73" s="66">
        <v>44774</v>
      </c>
      <c r="B73" s="70">
        <v>653</v>
      </c>
      <c r="C73" s="69">
        <f t="shared" si="2"/>
        <v>6.0064935064935154E-2</v>
      </c>
      <c r="D73" s="67"/>
      <c r="F73">
        <v>17759.3</v>
      </c>
      <c r="G73" s="9">
        <f t="shared" si="3"/>
        <v>3.5029796162195925E-2</v>
      </c>
    </row>
    <row r="74" spans="1:7" x14ac:dyDescent="0.3">
      <c r="A74" s="66">
        <v>44805</v>
      </c>
      <c r="B74" s="70">
        <v>618</v>
      </c>
      <c r="C74" s="69">
        <f t="shared" si="2"/>
        <v>-5.3598774885145528E-2</v>
      </c>
      <c r="D74" s="67"/>
      <c r="F74">
        <v>17094.349999999999</v>
      </c>
      <c r="G74" s="9">
        <f t="shared" si="3"/>
        <v>-3.7442354146841383E-2</v>
      </c>
    </row>
    <row r="75" spans="1:7" x14ac:dyDescent="0.3">
      <c r="A75" s="66">
        <v>44835</v>
      </c>
      <c r="B75" s="70">
        <v>660</v>
      </c>
      <c r="C75" s="69">
        <f t="shared" si="2"/>
        <v>6.7961165048543659E-2</v>
      </c>
      <c r="D75" s="67"/>
      <c r="F75">
        <v>18012.2</v>
      </c>
      <c r="G75" s="9">
        <f t="shared" si="3"/>
        <v>5.3693179325332796E-2</v>
      </c>
    </row>
    <row r="76" spans="1:7" x14ac:dyDescent="0.3">
      <c r="A76" s="66">
        <v>44866</v>
      </c>
      <c r="B76" s="70">
        <v>728</v>
      </c>
      <c r="C76" s="69">
        <f t="shared" si="2"/>
        <v>0.10303030303030303</v>
      </c>
      <c r="D76" s="67"/>
      <c r="F76">
        <v>18758.349999999999</v>
      </c>
      <c r="G76" s="9">
        <f t="shared" si="3"/>
        <v>4.1424701035964295E-2</v>
      </c>
    </row>
    <row r="77" spans="1:7" x14ac:dyDescent="0.3">
      <c r="A77" s="66">
        <v>44896</v>
      </c>
      <c r="B77" s="70">
        <v>752</v>
      </c>
      <c r="C77" s="69">
        <f t="shared" si="2"/>
        <v>3.2967032967033072E-2</v>
      </c>
      <c r="D77" s="67"/>
      <c r="F77">
        <v>18105.3</v>
      </c>
      <c r="G77" s="9">
        <f t="shared" si="3"/>
        <v>-3.4813829574562805E-2</v>
      </c>
    </row>
    <row r="78" spans="1:7" x14ac:dyDescent="0.3">
      <c r="A78" s="66">
        <v>44927</v>
      </c>
      <c r="B78" s="70">
        <v>701</v>
      </c>
      <c r="C78" s="69">
        <f t="shared" si="2"/>
        <v>-6.7819148936170248E-2</v>
      </c>
      <c r="D78" s="67"/>
      <c r="F78" s="68">
        <v>17662.150000000001</v>
      </c>
      <c r="G78" s="9">
        <f t="shared" si="3"/>
        <v>-2.4476258333195111E-2</v>
      </c>
    </row>
    <row r="79" spans="1:7" x14ac:dyDescent="0.3">
      <c r="A79" s="66">
        <v>44958</v>
      </c>
      <c r="B79" s="70">
        <v>653</v>
      </c>
      <c r="C79" s="69">
        <f t="shared" si="2"/>
        <v>-6.8473609129814594E-2</v>
      </c>
      <c r="D79" s="67"/>
      <c r="F79" s="68">
        <v>17303.95</v>
      </c>
      <c r="G79" s="9">
        <f t="shared" si="3"/>
        <v>-2.0280656658447582E-2</v>
      </c>
    </row>
    <row r="80" spans="1:7" x14ac:dyDescent="0.3">
      <c r="A80" s="66">
        <v>44986</v>
      </c>
      <c r="B80" s="70">
        <v>674</v>
      </c>
      <c r="C80" s="69">
        <f t="shared" si="2"/>
        <v>3.2159264931087339E-2</v>
      </c>
      <c r="D80" s="67"/>
      <c r="F80" s="68">
        <v>17359.75</v>
      </c>
      <c r="G80" s="9">
        <f t="shared" si="3"/>
        <v>3.2246972512055549E-3</v>
      </c>
    </row>
    <row r="81" spans="1:7" x14ac:dyDescent="0.3">
      <c r="A81" s="66">
        <v>45017</v>
      </c>
      <c r="B81" s="70">
        <v>710</v>
      </c>
      <c r="C81" s="69">
        <f t="shared" si="2"/>
        <v>5.3412462908011937E-2</v>
      </c>
      <c r="D81" s="67"/>
      <c r="F81" s="68">
        <v>18065</v>
      </c>
      <c r="G81" s="9">
        <f t="shared" si="3"/>
        <v>4.0625585045867663E-2</v>
      </c>
    </row>
    <row r="82" spans="1:7" x14ac:dyDescent="0.3">
      <c r="A82" s="66">
        <v>45047</v>
      </c>
      <c r="B82" s="70">
        <v>682</v>
      </c>
      <c r="C82" s="69">
        <f t="shared" si="2"/>
        <v>-3.9436619718309807E-2</v>
      </c>
      <c r="D82" s="67"/>
      <c r="F82" s="68">
        <v>18534.400000000001</v>
      </c>
      <c r="G82" s="9">
        <f t="shared" si="3"/>
        <v>2.5983946858566309E-2</v>
      </c>
    </row>
    <row r="83" spans="1:7" x14ac:dyDescent="0.3">
      <c r="A83" s="66">
        <v>45078</v>
      </c>
      <c r="B83" s="70">
        <v>768</v>
      </c>
      <c r="C83" s="69">
        <f t="shared" si="2"/>
        <v>0.12609970674486815</v>
      </c>
      <c r="D83" s="67"/>
      <c r="F83" s="68">
        <v>19189.05</v>
      </c>
      <c r="G83" s="9">
        <f t="shared" si="3"/>
        <v>3.5320808874309328E-2</v>
      </c>
    </row>
    <row r="84" spans="1:7" x14ac:dyDescent="0.3">
      <c r="A84" s="66">
        <v>45108</v>
      </c>
      <c r="B84" s="70">
        <v>803</v>
      </c>
      <c r="C84" s="69">
        <f t="shared" si="2"/>
        <v>4.5572916666666741E-2</v>
      </c>
      <c r="D84" s="67"/>
      <c r="F84" s="68">
        <v>19753.8</v>
      </c>
      <c r="G84" s="9">
        <f t="shared" si="3"/>
        <v>2.9430847280089489E-2</v>
      </c>
    </row>
    <row r="85" spans="1:7" x14ac:dyDescent="0.3">
      <c r="A85" s="66">
        <v>45139</v>
      </c>
      <c r="B85" s="70">
        <v>767</v>
      </c>
      <c r="C85" s="69">
        <f t="shared" si="2"/>
        <v>-4.4831880448318762E-2</v>
      </c>
      <c r="D85" s="67"/>
      <c r="F85" s="68">
        <v>19253.8</v>
      </c>
      <c r="G85" s="9">
        <f t="shared" si="3"/>
        <v>-2.5311585618969512E-2</v>
      </c>
    </row>
    <row r="86" spans="1:7" x14ac:dyDescent="0.3">
      <c r="A86" s="66">
        <v>45170</v>
      </c>
      <c r="B86" s="70">
        <v>767</v>
      </c>
      <c r="C86" s="69">
        <f t="shared" si="2"/>
        <v>0</v>
      </c>
      <c r="D86" s="67"/>
      <c r="F86" s="68">
        <v>19638.3</v>
      </c>
      <c r="G86" s="9">
        <f t="shared" si="3"/>
        <v>1.9970083827608009E-2</v>
      </c>
    </row>
    <row r="87" spans="1:7" x14ac:dyDescent="0.3">
      <c r="A87" s="66">
        <v>45200</v>
      </c>
      <c r="B87" s="70">
        <v>724</v>
      </c>
      <c r="C87" s="69">
        <f t="shared" si="2"/>
        <v>-5.606258148631027E-2</v>
      </c>
      <c r="D87" s="67"/>
      <c r="F87" s="68">
        <v>19079.599999999999</v>
      </c>
      <c r="G87" s="9">
        <f t="shared" si="3"/>
        <v>-2.844950937708457E-2</v>
      </c>
    </row>
    <row r="88" spans="1:7" x14ac:dyDescent="0.3">
      <c r="A88" s="66">
        <v>45231</v>
      </c>
      <c r="B88" s="70">
        <v>788</v>
      </c>
      <c r="C88" s="69">
        <f t="shared" si="2"/>
        <v>8.8397790055248615E-2</v>
      </c>
      <c r="D88" s="67"/>
      <c r="F88" s="68">
        <v>20133.150000000001</v>
      </c>
      <c r="G88" s="9">
        <f t="shared" si="3"/>
        <v>5.5218662865049728E-2</v>
      </c>
    </row>
    <row r="89" spans="1:7" x14ac:dyDescent="0.3">
      <c r="A89" s="66">
        <v>45261</v>
      </c>
      <c r="B89" s="70">
        <v>866</v>
      </c>
      <c r="C89" s="69">
        <f t="shared" si="2"/>
        <v>9.898477157360408E-2</v>
      </c>
      <c r="D89" s="67"/>
      <c r="F89" s="68">
        <v>21731.4</v>
      </c>
      <c r="G89" s="9">
        <f t="shared" si="3"/>
        <v>7.9384001013254268E-2</v>
      </c>
    </row>
    <row r="90" spans="1:7" x14ac:dyDescent="0.3">
      <c r="A90" s="66">
        <v>45292</v>
      </c>
      <c r="B90" s="70">
        <v>805</v>
      </c>
      <c r="C90" s="69">
        <f t="shared" si="2"/>
        <v>-7.0438799076212422E-2</v>
      </c>
      <c r="D90" s="67"/>
      <c r="F90" s="68">
        <v>21725.7</v>
      </c>
      <c r="G90" s="9">
        <f t="shared" si="3"/>
        <v>-2.6229327148741266E-4</v>
      </c>
    </row>
    <row r="91" spans="1:7" x14ac:dyDescent="0.3">
      <c r="A91" s="66">
        <v>45323</v>
      </c>
      <c r="B91" s="70">
        <v>787</v>
      </c>
      <c r="C91" s="69">
        <f t="shared" si="2"/>
        <v>-2.2360248447204967E-2</v>
      </c>
      <c r="D91" s="67"/>
      <c r="F91" s="68">
        <v>21982.799999999999</v>
      </c>
      <c r="G91" s="9">
        <f t="shared" si="3"/>
        <v>1.1833910990209695E-2</v>
      </c>
    </row>
    <row r="92" spans="1:7" x14ac:dyDescent="0.3">
      <c r="A92" s="66">
        <v>45352</v>
      </c>
      <c r="B92" s="70">
        <v>816</v>
      </c>
      <c r="C92" s="69">
        <f t="shared" si="2"/>
        <v>3.684879288437104E-2</v>
      </c>
      <c r="D92" s="67"/>
      <c r="F92" s="68">
        <v>22326.9</v>
      </c>
      <c r="G92" s="9">
        <f t="shared" si="3"/>
        <v>1.5653147005840973E-2</v>
      </c>
    </row>
    <row r="93" spans="1:7" x14ac:dyDescent="0.3">
      <c r="A93" s="66">
        <v>45383</v>
      </c>
      <c r="B93" s="70">
        <v>868</v>
      </c>
      <c r="C93" s="69">
        <f t="shared" si="2"/>
        <v>6.3725490196078427E-2</v>
      </c>
      <c r="D93" s="67"/>
      <c r="F93" s="68">
        <v>22604.85</v>
      </c>
      <c r="G93" s="9">
        <f t="shared" si="3"/>
        <v>1.2449108474530624E-2</v>
      </c>
    </row>
    <row r="94" spans="1:7" x14ac:dyDescent="0.3">
      <c r="A94" s="66">
        <v>45413</v>
      </c>
      <c r="B94" s="70">
        <v>866</v>
      </c>
      <c r="C94" s="69">
        <f t="shared" si="2"/>
        <v>-2.3041474654378336E-3</v>
      </c>
      <c r="D94" s="68"/>
      <c r="F94" s="68">
        <v>22530.7</v>
      </c>
      <c r="G94" s="9">
        <f t="shared" si="3"/>
        <v>-3.2802694996869608E-3</v>
      </c>
    </row>
    <row r="95" spans="1:7" x14ac:dyDescent="0.3">
      <c r="A95" s="66">
        <v>45444</v>
      </c>
      <c r="B95" s="70">
        <v>916</v>
      </c>
      <c r="C95" s="69">
        <f t="shared" si="2"/>
        <v>5.773672055427248E-2</v>
      </c>
      <c r="D95" s="68"/>
      <c r="F95" s="68">
        <v>24010.6</v>
      </c>
      <c r="G95" s="9">
        <f t="shared" si="3"/>
        <v>6.5683711558007341E-2</v>
      </c>
    </row>
    <row r="96" spans="1:7" x14ac:dyDescent="0.3">
      <c r="A96" s="66">
        <v>45474</v>
      </c>
      <c r="B96" s="70">
        <v>920</v>
      </c>
      <c r="C96" s="69">
        <f t="shared" si="2"/>
        <v>4.366812227074135E-3</v>
      </c>
      <c r="D96" s="67"/>
      <c r="F96" s="68">
        <v>24951.15</v>
      </c>
      <c r="G96" s="9">
        <f t="shared" si="3"/>
        <v>3.917228224200997E-2</v>
      </c>
    </row>
    <row r="97" spans="1:7" x14ac:dyDescent="0.3">
      <c r="A97" s="66">
        <v>45505</v>
      </c>
      <c r="B97" s="70">
        <v>933</v>
      </c>
      <c r="C97" s="69">
        <f t="shared" si="2"/>
        <v>1.4130434782608781E-2</v>
      </c>
      <c r="D97" s="67"/>
      <c r="F97" s="68">
        <v>25235.9</v>
      </c>
      <c r="G97" s="9">
        <f t="shared" si="3"/>
        <v>1.141229963348378E-2</v>
      </c>
    </row>
    <row r="98" spans="1:7" x14ac:dyDescent="0.3">
      <c r="A98" s="66">
        <v>45536</v>
      </c>
      <c r="B98" s="70">
        <v>1021</v>
      </c>
      <c r="C98" s="69">
        <f t="shared" si="2"/>
        <v>9.4319399785637748E-2</v>
      </c>
      <c r="D98" s="68"/>
      <c r="F98" s="68">
        <v>26061.3</v>
      </c>
      <c r="G98" s="9">
        <f t="shared" si="3"/>
        <v>3.2707373226237069E-2</v>
      </c>
    </row>
    <row r="99" spans="1:7" x14ac:dyDescent="0.3">
      <c r="A99" s="66">
        <v>45566</v>
      </c>
      <c r="B99" s="70">
        <v>955</v>
      </c>
      <c r="C99" s="69">
        <f t="shared" si="2"/>
        <v>-6.4642507345739508E-2</v>
      </c>
      <c r="D99" s="67"/>
      <c r="F99" s="68">
        <v>24349.85</v>
      </c>
      <c r="G99" s="9">
        <f t="shared" si="3"/>
        <v>-6.5670169945474699E-2</v>
      </c>
    </row>
    <row r="100" spans="1:7" x14ac:dyDescent="0.3">
      <c r="A100" s="66">
        <v>45597</v>
      </c>
      <c r="B100" s="70">
        <v>957</v>
      </c>
      <c r="C100" s="69">
        <f t="shared" si="2"/>
        <v>2.0942408376962707E-3</v>
      </c>
      <c r="D100" s="67"/>
      <c r="F100" s="68">
        <v>23927.15</v>
      </c>
      <c r="G100" s="9">
        <f t="shared" si="3"/>
        <v>-1.7359449852873743E-2</v>
      </c>
    </row>
    <row r="101" spans="1:7" x14ac:dyDescent="0.3">
      <c r="A101" s="66">
        <v>45627</v>
      </c>
      <c r="B101" s="70">
        <v>893</v>
      </c>
      <c r="C101" s="69">
        <f t="shared" si="2"/>
        <v>-6.6875653082549613E-2</v>
      </c>
      <c r="D101" s="67"/>
      <c r="F101" s="68">
        <v>23560.6</v>
      </c>
      <c r="G101" s="9">
        <f t="shared" si="3"/>
        <v>-1.5319417481814757E-2</v>
      </c>
    </row>
    <row r="102" spans="1:7" x14ac:dyDescent="0.3">
      <c r="A102" s="66">
        <v>45658</v>
      </c>
      <c r="B102" s="70">
        <v>937</v>
      </c>
      <c r="C102" s="69">
        <f t="shared" si="2"/>
        <v>4.9272116461366089E-2</v>
      </c>
      <c r="D102" s="67"/>
      <c r="F102" s="68">
        <v>23508.400000000001</v>
      </c>
      <c r="G102" s="9">
        <f t="shared" si="3"/>
        <v>-2.2155632708843465E-3</v>
      </c>
    </row>
    <row r="103" spans="1:7" x14ac:dyDescent="0.3">
      <c r="A103" s="66">
        <v>45689</v>
      </c>
      <c r="B103" s="70">
        <v>942</v>
      </c>
      <c r="C103" s="69">
        <f t="shared" si="2"/>
        <v>5.3361792956243548E-3</v>
      </c>
      <c r="D103" s="67"/>
      <c r="F103" s="68">
        <v>22433.4</v>
      </c>
      <c r="G103" s="9">
        <f t="shared" si="3"/>
        <v>-4.5728335403515286E-2</v>
      </c>
    </row>
    <row r="104" spans="1:7" x14ac:dyDescent="0.3">
      <c r="A104" s="66">
        <v>45717</v>
      </c>
      <c r="B104" s="70">
        <v>1054</v>
      </c>
      <c r="C104" s="69">
        <f t="shared" si="2"/>
        <v>0.11889596602972397</v>
      </c>
      <c r="D104" s="67"/>
      <c r="F104" s="68">
        <v>23519.35</v>
      </c>
      <c r="G104" s="9">
        <f t="shared" si="3"/>
        <v>4.8407731329178638E-2</v>
      </c>
    </row>
    <row r="105" spans="1:7" x14ac:dyDescent="0.3">
      <c r="A105" s="66">
        <v>45748</v>
      </c>
      <c r="B105" s="70">
        <v>1021</v>
      </c>
      <c r="C105" s="69">
        <f t="shared" si="2"/>
        <v>-3.1309297912713419E-2</v>
      </c>
      <c r="D105" s="67"/>
      <c r="F105" s="68">
        <v>24342.05</v>
      </c>
      <c r="G105" s="9">
        <f t="shared" si="3"/>
        <v>3.4979708197718118E-2</v>
      </c>
    </row>
    <row r="106" spans="1:7" x14ac:dyDescent="0.3">
      <c r="A106" s="66">
        <v>45778</v>
      </c>
      <c r="B106" s="70">
        <v>985</v>
      </c>
      <c r="C106" s="69">
        <f t="shared" si="2"/>
        <v>-3.5259549461312489E-2</v>
      </c>
      <c r="D106" s="67"/>
      <c r="F106" s="68">
        <v>24812.6</v>
      </c>
      <c r="G106" s="9">
        <f t="shared" si="3"/>
        <v>1.9330746588722025E-2</v>
      </c>
    </row>
    <row r="107" spans="1:7" x14ac:dyDescent="0.3">
      <c r="A107" s="66">
        <v>45809</v>
      </c>
      <c r="B107" s="70">
        <v>1011</v>
      </c>
      <c r="C107" s="69">
        <f t="shared" si="2"/>
        <v>2.6395939086294451E-2</v>
      </c>
      <c r="D107" s="67"/>
      <c r="F107" s="68">
        <v>25517.05</v>
      </c>
      <c r="G107" s="9">
        <f t="shared" si="3"/>
        <v>2.8390817568493487E-2</v>
      </c>
    </row>
    <row r="108" spans="1:7" x14ac:dyDescent="0.3">
      <c r="A108" s="66">
        <v>45839</v>
      </c>
      <c r="B108" s="70">
        <v>1042</v>
      </c>
      <c r="C108" s="69">
        <f t="shared" si="2"/>
        <v>3.0662710187932651E-2</v>
      </c>
      <c r="D108" s="67"/>
      <c r="F108" s="68">
        <v>24642.25</v>
      </c>
      <c r="G108" s="9">
        <f t="shared" si="3"/>
        <v>-3.4282959824901371E-2</v>
      </c>
    </row>
    <row r="109" spans="1:7" x14ac:dyDescent="0.3">
      <c r="A109" s="66">
        <v>45870</v>
      </c>
      <c r="B109" s="70">
        <v>1020</v>
      </c>
      <c r="C109" s="69">
        <f t="shared" si="2"/>
        <v>-2.1113243761996192E-2</v>
      </c>
      <c r="D109" s="67"/>
      <c r="F109" s="68">
        <v>24466.7</v>
      </c>
      <c r="G109" s="9">
        <f t="shared" si="3"/>
        <v>-7.1239436333938588E-3</v>
      </c>
    </row>
    <row r="110" spans="1:7" x14ac:dyDescent="0.3">
      <c r="A110" s="66">
        <v>45901</v>
      </c>
      <c r="B110" s="70">
        <v>1136</v>
      </c>
      <c r="C110" s="69">
        <f t="shared" si="2"/>
        <v>0.11372549019607847</v>
      </c>
      <c r="D110" s="68"/>
      <c r="F110" s="68">
        <v>24691.95</v>
      </c>
      <c r="G110" s="9">
        <f t="shared" si="3"/>
        <v>9.2063907269881451E-3</v>
      </c>
    </row>
    <row r="111" spans="1:7" x14ac:dyDescent="0.3">
      <c r="A111" s="66">
        <v>45931</v>
      </c>
      <c r="B111" s="70">
        <v>1199</v>
      </c>
      <c r="C111" s="69">
        <f t="shared" si="2"/>
        <v>5.5457746478873249E-2</v>
      </c>
      <c r="D111" s="68"/>
      <c r="F111" s="68">
        <v>25722.1</v>
      </c>
      <c r="G111" s="9">
        <f t="shared" si="3"/>
        <v>4.1720074761207426E-2</v>
      </c>
    </row>
    <row r="112" spans="1:7" x14ac:dyDescent="0.3">
      <c r="A112" s="66">
        <v>45962</v>
      </c>
      <c r="B112" s="70">
        <v>1153</v>
      </c>
      <c r="C112" s="69">
        <f t="shared" si="2"/>
        <v>-3.8365304420350244E-2</v>
      </c>
      <c r="D112" s="68"/>
      <c r="F112" s="68">
        <v>26202.95</v>
      </c>
      <c r="G112" s="9">
        <f t="shared" si="3"/>
        <v>1.8694041310779452E-2</v>
      </c>
    </row>
    <row r="113" spans="1:7" x14ac:dyDescent="0.3">
      <c r="A113" s="66">
        <v>45992</v>
      </c>
      <c r="B113" s="70">
        <v>1158</v>
      </c>
      <c r="C113" s="69">
        <f t="shared" si="2"/>
        <v>4.3365134431916363E-3</v>
      </c>
      <c r="D113" s="68"/>
      <c r="F113" s="68">
        <v>25971.05</v>
      </c>
      <c r="G113" s="9">
        <f t="shared" si="3"/>
        <v>-8.8501485519760781E-3</v>
      </c>
    </row>
    <row r="114" spans="1:7" x14ac:dyDescent="0.3">
      <c r="A114" s="66">
        <v>46023</v>
      </c>
      <c r="B114" s="70">
        <v>1207</v>
      </c>
      <c r="C114" s="69">
        <f t="shared" si="2"/>
        <v>4.2314335060449126E-2</v>
      </c>
      <c r="D114" s="68"/>
      <c r="F114" s="68">
        <v>25247.55</v>
      </c>
      <c r="G114" s="9">
        <f t="shared" si="3"/>
        <v>-2.7857941823684396E-2</v>
      </c>
    </row>
    <row r="115" spans="1:7" x14ac:dyDescent="0.3">
      <c r="A115" s="66">
        <v>46054</v>
      </c>
      <c r="B115" s="70">
        <v>1257</v>
      </c>
      <c r="C115" s="69">
        <f t="shared" si="2"/>
        <v>4.1425020712510419E-2</v>
      </c>
      <c r="D115" s="68"/>
      <c r="F115" s="68">
        <v>25459.85</v>
      </c>
      <c r="G115" s="9">
        <f t="shared" si="3"/>
        <v>8.4087366893024207E-3</v>
      </c>
    </row>
    <row r="116" spans="1:7" x14ac:dyDescent="0.3">
      <c r="A116" s="66">
        <v>46082</v>
      </c>
      <c r="B116" s="70">
        <v>1116</v>
      </c>
      <c r="C116" s="69">
        <f t="shared" si="2"/>
        <v>-0.11217183770883055</v>
      </c>
      <c r="D116" s="68"/>
      <c r="F116" s="68">
        <v>22549.65</v>
      </c>
      <c r="G116" s="9">
        <f t="shared" si="3"/>
        <v>-0.11430546527179053</v>
      </c>
    </row>
    <row r="117" spans="1:7" x14ac:dyDescent="0.3">
      <c r="A117" s="66">
        <v>46113</v>
      </c>
      <c r="B117" s="70">
        <v>1257</v>
      </c>
      <c r="C117" s="69">
        <f t="shared" si="2"/>
        <v>0.12634408602150549</v>
      </c>
      <c r="D117" s="68"/>
      <c r="F117" s="68">
        <v>23996.95</v>
      </c>
      <c r="G117" s="9">
        <f t="shared" si="3"/>
        <v>6.4182814367407026E-2</v>
      </c>
    </row>
    <row r="118" spans="1:7" x14ac:dyDescent="0.3">
      <c r="A118" s="66">
        <v>46143</v>
      </c>
      <c r="B118" s="70">
        <v>1270</v>
      </c>
      <c r="C118" s="69">
        <f t="shared" si="2"/>
        <v>1.0342084327764622E-2</v>
      </c>
      <c r="D118" s="68"/>
      <c r="F118" s="68">
        <v>23547.75</v>
      </c>
      <c r="G118" s="9">
        <f t="shared" si="3"/>
        <v>-1.8719045545371404E-2</v>
      </c>
    </row>
    <row r="119" spans="1:7" x14ac:dyDescent="0.3">
      <c r="A119" s="66">
        <v>46174</v>
      </c>
      <c r="B119" s="70">
        <v>1219</v>
      </c>
      <c r="C119" s="69">
        <f t="shared" si="2"/>
        <v>-4.0157480314960581E-2</v>
      </c>
      <c r="D119" s="68"/>
      <c r="F119" s="68">
        <v>23865.75</v>
      </c>
      <c r="G119" s="9">
        <f t="shared" si="3"/>
        <v>1.3504474949835865E-2</v>
      </c>
    </row>
    <row r="120" spans="1:7" x14ac:dyDescent="0.3">
      <c r="A120" s="66">
        <v>46204</v>
      </c>
      <c r="B120" s="70">
        <v>1270</v>
      </c>
      <c r="C120" s="69">
        <f t="shared" si="2"/>
        <v>4.1837571780147575E-2</v>
      </c>
      <c r="D120" s="68"/>
      <c r="F120" s="68">
        <v>24383.599999999999</v>
      </c>
      <c r="G120" s="9">
        <f t="shared" si="3"/>
        <v>2.1698459088861588E-2</v>
      </c>
    </row>
    <row r="121" spans="1:7" x14ac:dyDescent="0.3">
      <c r="A121" s="66">
        <v>46235</v>
      </c>
      <c r="B121" s="70">
        <v>1307</v>
      </c>
      <c r="C121" s="69">
        <f t="shared" si="2"/>
        <v>2.9133858267716528E-2</v>
      </c>
      <c r="D121" s="68"/>
      <c r="F121" s="68">
        <v>24080</v>
      </c>
      <c r="G121" s="9">
        <f>(F121/F120)-1</f>
        <v>-1.245099165012542E-2</v>
      </c>
    </row>
    <row r="122" spans="1:7" x14ac:dyDescent="0.3">
      <c r="A122" s="66" t="s">
        <v>227</v>
      </c>
      <c r="B122" s="68">
        <v>1302</v>
      </c>
      <c r="C122" s="69">
        <f t="shared" si="2"/>
        <v>-3.8255547054323324E-3</v>
      </c>
      <c r="D122" s="68"/>
      <c r="F122" s="68">
        <v>23838</v>
      </c>
      <c r="G122" s="9">
        <f>(F122/F121)-1</f>
        <v>-1.0049833887043169E-2</v>
      </c>
    </row>
    <row r="123" spans="1:7" x14ac:dyDescent="0.3">
      <c r="A123" s="66"/>
      <c r="B123" s="68"/>
      <c r="C123" s="68"/>
      <c r="D123" s="68"/>
    </row>
    <row r="124" spans="1:7" x14ac:dyDescent="0.3">
      <c r="A124" s="66"/>
      <c r="B124" s="68"/>
      <c r="C124" s="68"/>
      <c r="D124" s="68"/>
    </row>
    <row r="125" spans="1:7" x14ac:dyDescent="0.3">
      <c r="A125" s="66"/>
      <c r="B125" s="68"/>
      <c r="C125" s="68"/>
      <c r="D125" s="68"/>
    </row>
    <row r="126" spans="1:7" x14ac:dyDescent="0.3">
      <c r="A126" s="66"/>
      <c r="B126" s="68"/>
      <c r="C126" s="68"/>
      <c r="D126" s="68"/>
    </row>
  </sheetData>
  <mergeCells count="2">
    <mergeCell ref="A2:C4"/>
    <mergeCell ref="F2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5F15-11E7-43B0-9BFC-B1788CCF4A6D}">
  <dimension ref="A2:G29"/>
  <sheetViews>
    <sheetView showGridLines="0" workbookViewId="0">
      <selection activeCell="G7" sqref="G7"/>
    </sheetView>
  </sheetViews>
  <sheetFormatPr defaultRowHeight="14.4" x14ac:dyDescent="0.3"/>
  <cols>
    <col min="6" max="6" width="20.21875" bestFit="1" customWidth="1"/>
  </cols>
  <sheetData>
    <row r="2" spans="1:7" x14ac:dyDescent="0.3">
      <c r="A2" s="176" t="s">
        <v>229</v>
      </c>
      <c r="B2" s="176"/>
      <c r="C2" s="176"/>
    </row>
    <row r="3" spans="1:7" x14ac:dyDescent="0.3">
      <c r="B3" t="s">
        <v>149</v>
      </c>
      <c r="C3" t="s">
        <v>228</v>
      </c>
    </row>
    <row r="4" spans="1:7" x14ac:dyDescent="0.3">
      <c r="B4" s="43">
        <v>2000</v>
      </c>
      <c r="C4" s="9">
        <v>-0.14649999999999999</v>
      </c>
      <c r="F4" t="s">
        <v>230</v>
      </c>
      <c r="G4" s="27">
        <f>AVERAGE(C4:C29)</f>
        <v>0.15261153846153847</v>
      </c>
    </row>
    <row r="5" spans="1:7" ht="16.2" x14ac:dyDescent="0.3">
      <c r="B5" s="43">
        <v>2001</v>
      </c>
      <c r="C5" s="9">
        <v>-0.1394</v>
      </c>
      <c r="F5" t="s">
        <v>231</v>
      </c>
      <c r="G5" s="73" t="s">
        <v>233</v>
      </c>
    </row>
    <row r="6" spans="1:7" x14ac:dyDescent="0.3">
      <c r="B6" s="43">
        <v>2002</v>
      </c>
      <c r="C6" s="9">
        <v>3.2500000000000001E-2</v>
      </c>
    </row>
    <row r="7" spans="1:7" x14ac:dyDescent="0.3">
      <c r="B7" s="43">
        <v>2003</v>
      </c>
      <c r="C7" s="9">
        <v>0.71900000000000008</v>
      </c>
      <c r="F7" s="8" t="s">
        <v>232</v>
      </c>
      <c r="G7" s="27">
        <f>SUM(G4:G5)</f>
        <v>0.15261153846153847</v>
      </c>
    </row>
    <row r="8" spans="1:7" x14ac:dyDescent="0.3">
      <c r="B8" s="43">
        <v>2004</v>
      </c>
      <c r="C8" s="9">
        <v>0.10679999999999999</v>
      </c>
    </row>
    <row r="9" spans="1:7" x14ac:dyDescent="0.3">
      <c r="B9" s="43">
        <v>2005</v>
      </c>
      <c r="C9" s="9">
        <v>0.36340000000000006</v>
      </c>
    </row>
    <row r="10" spans="1:7" x14ac:dyDescent="0.3">
      <c r="B10" s="43">
        <v>2006</v>
      </c>
      <c r="C10" s="9">
        <v>0.39829999999999999</v>
      </c>
    </row>
    <row r="11" spans="1:7" x14ac:dyDescent="0.3">
      <c r="B11" s="43">
        <v>2007</v>
      </c>
      <c r="C11" s="9">
        <v>0.54770000000000008</v>
      </c>
    </row>
    <row r="12" spans="1:7" x14ac:dyDescent="0.3">
      <c r="B12" s="43">
        <v>2008</v>
      </c>
      <c r="C12" s="9">
        <v>-0.51790000000000003</v>
      </c>
    </row>
    <row r="13" spans="1:7" x14ac:dyDescent="0.3">
      <c r="B13" s="43">
        <v>2009</v>
      </c>
      <c r="C13" s="9">
        <v>0.75760000000000005</v>
      </c>
    </row>
    <row r="14" spans="1:7" x14ac:dyDescent="0.3">
      <c r="B14" s="43">
        <v>2010</v>
      </c>
      <c r="C14" s="9">
        <v>0.17949999999999999</v>
      </c>
    </row>
    <row r="15" spans="1:7" x14ac:dyDescent="0.3">
      <c r="B15" s="43">
        <v>2011</v>
      </c>
      <c r="C15" s="9">
        <v>-0.2462</v>
      </c>
    </row>
    <row r="16" spans="1:7" x14ac:dyDescent="0.3">
      <c r="B16" s="43">
        <v>2012</v>
      </c>
      <c r="C16" s="9">
        <v>0.27699999999999997</v>
      </c>
    </row>
    <row r="17" spans="2:3" x14ac:dyDescent="0.3">
      <c r="B17" s="43">
        <v>2013</v>
      </c>
      <c r="C17" s="9">
        <v>6.7599999999999993E-2</v>
      </c>
    </row>
    <row r="18" spans="2:3" x14ac:dyDescent="0.3">
      <c r="B18" s="43">
        <v>2014</v>
      </c>
      <c r="C18" s="9">
        <v>0.31390000000000001</v>
      </c>
    </row>
    <row r="19" spans="2:3" x14ac:dyDescent="0.3">
      <c r="B19" s="43">
        <v>2015</v>
      </c>
      <c r="C19" s="9">
        <v>-4.0599999999999997E-2</v>
      </c>
    </row>
    <row r="20" spans="2:3" x14ac:dyDescent="0.3">
      <c r="B20" s="43">
        <v>2016</v>
      </c>
      <c r="C20" s="9">
        <v>3.0099999999999998E-2</v>
      </c>
    </row>
    <row r="21" spans="2:3" x14ac:dyDescent="0.3">
      <c r="B21" s="43">
        <v>2017</v>
      </c>
      <c r="C21" s="9">
        <v>0.28649999999999998</v>
      </c>
    </row>
    <row r="22" spans="2:3" x14ac:dyDescent="0.3">
      <c r="B22" s="43">
        <v>2018</v>
      </c>
      <c r="C22" s="9">
        <v>3.15E-2</v>
      </c>
    </row>
    <row r="23" spans="2:3" x14ac:dyDescent="0.3">
      <c r="B23" s="43">
        <v>2019</v>
      </c>
      <c r="C23" s="9">
        <v>0.1202</v>
      </c>
    </row>
    <row r="24" spans="2:3" x14ac:dyDescent="0.3">
      <c r="B24" s="43">
        <v>2020</v>
      </c>
      <c r="C24" s="9">
        <v>0.14899999999999999</v>
      </c>
    </row>
    <row r="25" spans="2:3" x14ac:dyDescent="0.3">
      <c r="B25" s="43">
        <v>2021</v>
      </c>
      <c r="C25" s="9">
        <v>0.2412</v>
      </c>
    </row>
    <row r="26" spans="2:3" x14ac:dyDescent="0.3">
      <c r="B26" s="43">
        <v>2022</v>
      </c>
      <c r="C26" s="9">
        <v>4.3299999999999998E-2</v>
      </c>
    </row>
    <row r="27" spans="2:3" x14ac:dyDescent="0.3">
      <c r="B27" s="43">
        <v>2023</v>
      </c>
      <c r="C27" s="9">
        <v>0.20030000000000001</v>
      </c>
    </row>
    <row r="28" spans="2:3" x14ac:dyDescent="0.3">
      <c r="B28" s="43">
        <v>2024</v>
      </c>
      <c r="C28" s="9">
        <v>8.8000000000000009E-2</v>
      </c>
    </row>
    <row r="29" spans="2:3" x14ac:dyDescent="0.3">
      <c r="B29" s="43">
        <v>2025</v>
      </c>
      <c r="C29" s="9">
        <v>0.1051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3895-C22C-4566-AC9C-80A623FE7419}">
  <dimension ref="B2:L41"/>
  <sheetViews>
    <sheetView showGridLines="0" topLeftCell="B3" workbookViewId="0">
      <selection activeCell="P24" sqref="P24"/>
    </sheetView>
  </sheetViews>
  <sheetFormatPr defaultRowHeight="14.4" x14ac:dyDescent="0.3"/>
  <cols>
    <col min="2" max="2" width="18.21875" bestFit="1" customWidth="1"/>
    <col min="3" max="12" width="9.6640625" bestFit="1" customWidth="1"/>
  </cols>
  <sheetData>
    <row r="2" spans="2:12" x14ac:dyDescent="0.3">
      <c r="B2" s="176" t="str">
        <f>"Common Size Income Statement" &amp;" "&amp;"-"&amp;'Data Sheet'!B1</f>
        <v>Common Size Income Statement -TATA STEEL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spans="2:12" x14ac:dyDescent="0.3"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</row>
    <row r="4" spans="2:12" x14ac:dyDescent="0.3">
      <c r="B4" s="8" t="s">
        <v>237</v>
      </c>
      <c r="C4" s="76">
        <f>'Data Sheet'!B16</f>
        <v>42825</v>
      </c>
      <c r="D4" s="76">
        <f>'Data Sheet'!C16</f>
        <v>43190</v>
      </c>
      <c r="E4" s="76">
        <f>'Data Sheet'!D16</f>
        <v>43555</v>
      </c>
      <c r="F4" s="76">
        <f>'Data Sheet'!E16</f>
        <v>43921</v>
      </c>
      <c r="G4" s="76">
        <f>'Data Sheet'!F16</f>
        <v>44286</v>
      </c>
      <c r="H4" s="76">
        <f>'Data Sheet'!G16</f>
        <v>44651</v>
      </c>
      <c r="I4" s="76">
        <f>'Data Sheet'!H16</f>
        <v>45016</v>
      </c>
      <c r="J4" s="76">
        <f>'Data Sheet'!I16</f>
        <v>45382</v>
      </c>
      <c r="K4" s="76">
        <f>'Data Sheet'!J16</f>
        <v>45747</v>
      </c>
      <c r="L4" s="76">
        <f>'Data Sheet'!K16</f>
        <v>46112</v>
      </c>
    </row>
    <row r="5" spans="2:12" x14ac:dyDescent="0.3">
      <c r="B5" s="74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x14ac:dyDescent="0.3">
      <c r="B6" s="78" t="str">
        <f>'Data Sheet'!A17</f>
        <v>Sales</v>
      </c>
      <c r="C6" s="80">
        <f>'Data Sheet'!B17/'Data Sheet'!B$17</f>
        <v>1</v>
      </c>
      <c r="D6" s="80">
        <f>'Data Sheet'!C17/'Data Sheet'!C$17</f>
        <v>1</v>
      </c>
      <c r="E6" s="80">
        <f>'Data Sheet'!D17/'Data Sheet'!D$17</f>
        <v>1</v>
      </c>
      <c r="F6" s="80">
        <f>'Data Sheet'!E17/'Data Sheet'!E$17</f>
        <v>1</v>
      </c>
      <c r="G6" s="80">
        <f>'Data Sheet'!F17/'Data Sheet'!F$17</f>
        <v>1</v>
      </c>
      <c r="H6" s="80">
        <f>'Data Sheet'!G17/'Data Sheet'!G$17</f>
        <v>1</v>
      </c>
      <c r="I6" s="80">
        <f>'Data Sheet'!H17/'Data Sheet'!H$17</f>
        <v>1</v>
      </c>
      <c r="J6" s="80">
        <f>'Data Sheet'!I17/'Data Sheet'!I$17</f>
        <v>1</v>
      </c>
      <c r="K6" s="80">
        <f>'Data Sheet'!J17/'Data Sheet'!J$17</f>
        <v>1</v>
      </c>
      <c r="L6" s="80">
        <f>'Data Sheet'!K17/'Data Sheet'!K$17</f>
        <v>1</v>
      </c>
    </row>
    <row r="7" spans="2:12" x14ac:dyDescent="0.3">
      <c r="B7" s="75" t="str">
        <f>'Data Sheet'!A18</f>
        <v>Raw Material Cost</v>
      </c>
      <c r="C7" s="9">
        <f>'Data Sheet'!B18/'Data Sheet'!B$17</f>
        <v>0.39041190061355613</v>
      </c>
      <c r="D7" s="9">
        <f>'Data Sheet'!C18/'Data Sheet'!C$17</f>
        <v>0.37433961976345947</v>
      </c>
      <c r="E7" s="9">
        <f>'Data Sheet'!D18/'Data Sheet'!D$17</f>
        <v>0.38610667830116757</v>
      </c>
      <c r="F7" s="9">
        <f>'Data Sheet'!E18/'Data Sheet'!E$17</f>
        <v>0.41511500955000707</v>
      </c>
      <c r="G7" s="9">
        <f>'Data Sheet'!F18/'Data Sheet'!F$17</f>
        <v>0.3521327041476916</v>
      </c>
      <c r="H7" s="9">
        <f>'Data Sheet'!G18/'Data Sheet'!G$17</f>
        <v>0.37332726619786416</v>
      </c>
      <c r="I7" s="9">
        <f>'Data Sheet'!H18/'Data Sheet'!H$17</f>
        <v>0.47912842056522986</v>
      </c>
      <c r="J7" s="9">
        <f>'Data Sheet'!I18/'Data Sheet'!I$17</f>
        <v>0.42547479220518425</v>
      </c>
      <c r="K7" s="9">
        <f>'Data Sheet'!J18/'Data Sheet'!J$17</f>
        <v>0.43514325885613742</v>
      </c>
      <c r="L7" s="9">
        <f>'Data Sheet'!K18/'Data Sheet'!K$17</f>
        <v>0.39901823873996006</v>
      </c>
    </row>
    <row r="8" spans="2:12" x14ac:dyDescent="0.3">
      <c r="B8" s="75" t="str">
        <f>'Data Sheet'!A19</f>
        <v>Change in Inventory</v>
      </c>
      <c r="C8" s="9">
        <f>'Data Sheet'!B19/'Data Sheet'!B$17</f>
        <v>4.0410983422710468E-2</v>
      </c>
      <c r="D8" s="9">
        <f>'Data Sheet'!C19/'Data Sheet'!C$17</f>
        <v>-8.0576672911203298E-4</v>
      </c>
      <c r="E8" s="9">
        <f>'Data Sheet'!D19/'Data Sheet'!D$17</f>
        <v>6.1337362534002408E-4</v>
      </c>
      <c r="F8" s="9">
        <f>'Data Sheet'!E19/'Data Sheet'!E$17</f>
        <v>4.0427230948531529E-3</v>
      </c>
      <c r="G8" s="9">
        <f>'Data Sheet'!F19/'Data Sheet'!F$17</f>
        <v>-9.6932208740687156E-3</v>
      </c>
      <c r="H8" s="9">
        <f>'Data Sheet'!G19/'Data Sheet'!G$17</f>
        <v>3.1144022993683736E-2</v>
      </c>
      <c r="I8" s="9">
        <f>'Data Sheet'!H19/'Data Sheet'!H$17</f>
        <v>1.3802559568994285E-2</v>
      </c>
      <c r="J8" s="9">
        <f>'Data Sheet'!I19/'Data Sheet'!I$17</f>
        <v>-1.9240454651330334E-2</v>
      </c>
      <c r="K8" s="9">
        <f>'Data Sheet'!J19/'Data Sheet'!J$17</f>
        <v>4.4224805508090854E-4</v>
      </c>
      <c r="L8" s="9">
        <f>'Data Sheet'!K19/'Data Sheet'!K$17</f>
        <v>-4.2630320314548196E-3</v>
      </c>
    </row>
    <row r="9" spans="2:12" x14ac:dyDescent="0.3">
      <c r="B9" s="75" t="str">
        <f>'Data Sheet'!A20</f>
        <v>Power and Fuel</v>
      </c>
      <c r="C9" s="9">
        <f>'Data Sheet'!B20/'Data Sheet'!B$17</f>
        <v>4.6490266824174162E-2</v>
      </c>
      <c r="D9" s="9">
        <f>'Data Sheet'!C20/'Data Sheet'!C$17</f>
        <v>3.6028101469650034E-2</v>
      </c>
      <c r="E9" s="9">
        <f>'Data Sheet'!D20/'Data Sheet'!D$17</f>
        <v>3.371975681457718E-2</v>
      </c>
      <c r="F9" s="9">
        <f>'Data Sheet'!E20/'Data Sheet'!E$17</f>
        <v>3.8049259512368525E-2</v>
      </c>
      <c r="G9" s="9">
        <f>'Data Sheet'!F20/'Data Sheet'!F$17</f>
        <v>3.6480795309738023E-2</v>
      </c>
      <c r="H9" s="9">
        <f>'Data Sheet'!G20/'Data Sheet'!G$17</f>
        <v>3.2908334620092371E-2</v>
      </c>
      <c r="I9" s="9">
        <f>'Data Sheet'!H20/'Data Sheet'!H$17</f>
        <v>3.9148570743146496E-2</v>
      </c>
      <c r="J9" s="9">
        <f>'Data Sheet'!I20/'Data Sheet'!I$17</f>
        <v>7.249008795973029E-2</v>
      </c>
      <c r="K9" s="9">
        <f>'Data Sheet'!J20/'Data Sheet'!J$17</f>
        <v>6.0056279210850098E-2</v>
      </c>
      <c r="L9" s="9">
        <f>'Data Sheet'!K20/'Data Sheet'!K$17</f>
        <v>6.174357587927351E-2</v>
      </c>
    </row>
    <row r="10" spans="2:12" x14ac:dyDescent="0.3">
      <c r="B10" s="75" t="str">
        <f>'Data Sheet'!A21</f>
        <v>Other Mfr. Exp</v>
      </c>
      <c r="C10" s="9">
        <f>'Data Sheet'!B21/'Data Sheet'!B$17</f>
        <v>0.14068763667701933</v>
      </c>
      <c r="D10" s="9">
        <f>'Data Sheet'!C21/'Data Sheet'!C$17</f>
        <v>0.13757337073618486</v>
      </c>
      <c r="E10" s="9">
        <f>'Data Sheet'!D21/'Data Sheet'!D$17</f>
        <v>0.13150512348686955</v>
      </c>
      <c r="F10" s="9">
        <f>'Data Sheet'!E21/'Data Sheet'!E$17</f>
        <v>0.15186095504362321</v>
      </c>
      <c r="G10" s="9">
        <f>'Data Sheet'!F21/'Data Sheet'!F$17</f>
        <v>0.13257460821818359</v>
      </c>
      <c r="H10" s="9">
        <f>'Data Sheet'!G21/'Data Sheet'!G$17</f>
        <v>0.11819215485935618</v>
      </c>
      <c r="I10" s="9">
        <f>'Data Sheet'!H21/'Data Sheet'!H$17</f>
        <v>0.1362007956435575</v>
      </c>
      <c r="J10" s="9">
        <f>'Data Sheet'!I21/'Data Sheet'!I$17</f>
        <v>0.17505246524011484</v>
      </c>
      <c r="K10" s="9">
        <f>'Data Sheet'!J21/'Data Sheet'!J$17</f>
        <v>0.17708454066899845</v>
      </c>
      <c r="L10" s="9">
        <f>'Data Sheet'!K21/'Data Sheet'!K$17</f>
        <v>0.16148001072111934</v>
      </c>
    </row>
    <row r="11" spans="2:12" x14ac:dyDescent="0.3">
      <c r="B11" s="75" t="str">
        <f>'Data Sheet'!A22</f>
        <v>Employee Cost</v>
      </c>
      <c r="C11" s="9">
        <f>'Data Sheet'!B22/'Data Sheet'!B$17</f>
        <v>0.15362697331829497</v>
      </c>
      <c r="D11" s="9">
        <f>'Data Sheet'!C22/'Data Sheet'!C$17</f>
        <v>0.13856096439510657</v>
      </c>
      <c r="E11" s="9">
        <f>'Data Sheet'!D22/'Data Sheet'!D$17</f>
        <v>0.11897628062436374</v>
      </c>
      <c r="F11" s="9">
        <f>'Data Sheet'!E22/'Data Sheet'!E$17</f>
        <v>0.13255631571776325</v>
      </c>
      <c r="G11" s="9">
        <f>'Data Sheet'!F22/'Data Sheet'!F$17</f>
        <v>0.12723121677635238</v>
      </c>
      <c r="H11" s="9">
        <f>'Data Sheet'!G22/'Data Sheet'!G$17</f>
        <v>9.5360629403682576E-2</v>
      </c>
      <c r="I11" s="9">
        <f>'Data Sheet'!H22/'Data Sheet'!H$17</f>
        <v>9.2126863278149909E-2</v>
      </c>
      <c r="J11" s="9">
        <f>'Data Sheet'!I22/'Data Sheet'!I$17</f>
        <v>0.10694897490858128</v>
      </c>
      <c r="K11" s="9">
        <f>'Data Sheet'!J22/'Data Sheet'!J$17</f>
        <v>0.11388626404995532</v>
      </c>
      <c r="L11" s="9">
        <f>'Data Sheet'!K22/'Data Sheet'!K$17</f>
        <v>0.11199701352554842</v>
      </c>
    </row>
    <row r="12" spans="2:12" x14ac:dyDescent="0.3">
      <c r="B12" s="75" t="str">
        <f>'Data Sheet'!A23</f>
        <v>Selling and admin</v>
      </c>
      <c r="C12" s="9">
        <f>'Data Sheet'!B23/'Data Sheet'!B$17</f>
        <v>0.12263927988230038</v>
      </c>
      <c r="D12" s="9">
        <f>'Data Sheet'!C23/'Data Sheet'!C$17</f>
        <v>0.11703025426479892</v>
      </c>
      <c r="E12" s="9">
        <f>'Data Sheet'!D23/'Data Sheet'!D$17</f>
        <v>0.10729528996158344</v>
      </c>
      <c r="F12" s="9">
        <f>'Data Sheet'!E23/'Data Sheet'!E$17</f>
        <v>0.111568042861848</v>
      </c>
      <c r="G12" s="9">
        <f>'Data Sheet'!F23/'Data Sheet'!F$17</f>
        <v>0.11189967369089722</v>
      </c>
      <c r="H12" s="9">
        <f>'Data Sheet'!G23/'Data Sheet'!G$17</f>
        <v>0.11250107958639143</v>
      </c>
      <c r="I12" s="9">
        <f>'Data Sheet'!H23/'Data Sheet'!H$17</f>
        <v>0.10486804152442283</v>
      </c>
      <c r="J12" s="9">
        <f>'Data Sheet'!I23/'Data Sheet'!I$17</f>
        <v>6.3068991605299773E-2</v>
      </c>
      <c r="K12" s="9">
        <f>'Data Sheet'!J23/'Data Sheet'!J$17</f>
        <v>5.5537295695926615E-2</v>
      </c>
      <c r="L12" s="9">
        <f>'Data Sheet'!K23/'Data Sheet'!K$17</f>
        <v>5.7504064143378344E-2</v>
      </c>
    </row>
    <row r="13" spans="2:12" x14ac:dyDescent="0.3">
      <c r="B13" s="75" t="str">
        <f>'Data Sheet'!A24</f>
        <v>Other Expenses</v>
      </c>
      <c r="C13" s="9">
        <f>'Data Sheet'!B24/'Data Sheet'!B$17</f>
        <v>6.9513983242299918E-2</v>
      </c>
      <c r="D13" s="9">
        <f>'Data Sheet'!C24/'Data Sheet'!C$17</f>
        <v>2.1760488740401852E-2</v>
      </c>
      <c r="E13" s="9">
        <f>'Data Sheet'!D24/'Data Sheet'!D$17</f>
        <v>3.7062329123818197E-2</v>
      </c>
      <c r="F13" s="9">
        <f>'Data Sheet'!E24/'Data Sheet'!E$17</f>
        <v>2.9993423530030223E-2</v>
      </c>
      <c r="G13" s="9">
        <f>'Data Sheet'!F24/'Data Sheet'!F$17</f>
        <v>3.5044230029384435E-2</v>
      </c>
      <c r="H13" s="9">
        <f>'Data Sheet'!G24/'Data Sheet'!G$17</f>
        <v>3.860629629130153E-2</v>
      </c>
      <c r="I13" s="9">
        <f>'Data Sheet'!H24/'Data Sheet'!H$17</f>
        <v>2.960004263770415E-2</v>
      </c>
      <c r="J13" s="9">
        <f>'Data Sheet'!I24/'Data Sheet'!I$17</f>
        <v>4.0644143201851481E-2</v>
      </c>
      <c r="K13" s="9">
        <f>'Data Sheet'!J24/'Data Sheet'!J$17</f>
        <v>4.2974751228033389E-2</v>
      </c>
      <c r="L13" s="9">
        <f>'Data Sheet'!K24/'Data Sheet'!K$17</f>
        <v>5.6012463861238183E-2</v>
      </c>
    </row>
    <row r="14" spans="2:12" x14ac:dyDescent="0.3">
      <c r="B14" s="75" t="str">
        <f>'Data Sheet'!A25</f>
        <v>Other Income</v>
      </c>
      <c r="C14" s="9">
        <f>'Data Sheet'!B25/'Data Sheet'!B$17</f>
        <v>-3.3741135973810017E-2</v>
      </c>
      <c r="D14" s="9">
        <f>'Data Sheet'!C25/'Data Sheet'!C$17</f>
        <v>8.8425900495638629E-2</v>
      </c>
      <c r="E14" s="9">
        <f>'Data Sheet'!D25/'Data Sheet'!D$17</f>
        <v>9.6677856565200292E-3</v>
      </c>
      <c r="F14" s="9">
        <f>'Data Sheet'!E25/'Data Sheet'!E$17</f>
        <v>-2.0624367698696831E-2</v>
      </c>
      <c r="G14" s="9">
        <f>'Data Sheet'!F25/'Data Sheet'!F$17</f>
        <v>1.1489199079228055E-3</v>
      </c>
      <c r="H14" s="9">
        <f>'Data Sheet'!G25/'Data Sheet'!G$17</f>
        <v>5.3287195558174754E-3</v>
      </c>
      <c r="I14" s="9">
        <f>'Data Sheet'!H25/'Data Sheet'!H$17</f>
        <v>6.4468570287840249E-3</v>
      </c>
      <c r="J14" s="9">
        <f>'Data Sheet'!I25/'Data Sheet'!I$17</f>
        <v>-2.6204169658976591E-2</v>
      </c>
      <c r="K14" s="9">
        <f>'Data Sheet'!J25/'Data Sheet'!J$17</f>
        <v>4.0115765120479303E-3</v>
      </c>
      <c r="L14" s="9">
        <f>'Data Sheet'!K25/'Data Sheet'!K$17</f>
        <v>3.1783414779895268E-3</v>
      </c>
    </row>
    <row r="15" spans="2:12" x14ac:dyDescent="0.3">
      <c r="B15" s="75" t="str">
        <f>'Data Sheet'!A26</f>
        <v>Depreciation</v>
      </c>
      <c r="C15" s="9">
        <f>'Data Sheet'!B26/'Data Sheet'!B$17</f>
        <v>5.0515666064882614E-2</v>
      </c>
      <c r="D15" s="9">
        <f>'Data Sheet'!C26/'Data Sheet'!C$17</f>
        <v>4.6586152739326953E-2</v>
      </c>
      <c r="E15" s="9">
        <f>'Data Sheet'!D26/'Data Sheet'!D$17</f>
        <v>4.6564831803641286E-2</v>
      </c>
      <c r="F15" s="9">
        <f>'Data Sheet'!E26/'Data Sheet'!E$17</f>
        <v>6.0369991699844049E-2</v>
      </c>
      <c r="G15" s="9">
        <f>'Data Sheet'!F26/'Data Sheet'!F$17</f>
        <v>5.9009416056248376E-2</v>
      </c>
      <c r="H15" s="9">
        <f>'Data Sheet'!G26/'Data Sheet'!G$17</f>
        <v>3.7304889994501947E-2</v>
      </c>
      <c r="I15" s="9">
        <f>'Data Sheet'!H26/'Data Sheet'!H$17</f>
        <v>3.8360784094887142E-2</v>
      </c>
      <c r="J15" s="9">
        <f>'Data Sheet'!I26/'Data Sheet'!I$17</f>
        <v>4.3121378737725639E-2</v>
      </c>
      <c r="K15" s="9">
        <f>'Data Sheet'!J26/'Data Sheet'!J$17</f>
        <v>4.768559672898421E-2</v>
      </c>
      <c r="L15" s="9">
        <f>'Data Sheet'!K26/'Data Sheet'!K$17</f>
        <v>5.1496997888428854E-2</v>
      </c>
    </row>
    <row r="16" spans="2:12" x14ac:dyDescent="0.3">
      <c r="B16" s="75" t="str">
        <f>'Data Sheet'!A27</f>
        <v>Interest</v>
      </c>
      <c r="C16" s="9">
        <f>'Data Sheet'!B27/'Data Sheet'!B$17</f>
        <v>4.5166751529081804E-2</v>
      </c>
      <c r="D16" s="9">
        <f>'Data Sheet'!C27/'Data Sheet'!C$17</f>
        <v>4.4257859308796402E-2</v>
      </c>
      <c r="E16" s="9">
        <f>'Data Sheet'!D27/'Data Sheet'!D$17</f>
        <v>4.8583427850968038E-2</v>
      </c>
      <c r="F16" s="9">
        <f>'Data Sheet'!E27/'Data Sheet'!E$17</f>
        <v>5.3880993429609426E-2</v>
      </c>
      <c r="G16" s="9">
        <f>'Data Sheet'!F27/'Data Sheet'!F$17</f>
        <v>4.8612195754786314E-2</v>
      </c>
      <c r="H16" s="9">
        <f>'Data Sheet'!G27/'Data Sheet'!G$17</f>
        <v>2.2389812196852446E-2</v>
      </c>
      <c r="I16" s="9">
        <f>'Data Sheet'!H27/'Data Sheet'!H$17</f>
        <v>2.5883009552925013E-2</v>
      </c>
      <c r="J16" s="9">
        <f>'Data Sheet'!I27/'Data Sheet'!I$17</f>
        <v>3.2759717447398834E-2</v>
      </c>
      <c r="K16" s="9">
        <f>'Data Sheet'!J27/'Data Sheet'!J$17</f>
        <v>3.3590490014963219E-2</v>
      </c>
      <c r="L16" s="9">
        <f>'Data Sheet'!K27/'Data Sheet'!K$17</f>
        <v>3.0873877196659912E-2</v>
      </c>
    </row>
    <row r="17" spans="2:12" x14ac:dyDescent="0.3">
      <c r="B17" s="75" t="str">
        <f>'Data Sheet'!A28</f>
        <v>Profit before tax</v>
      </c>
      <c r="C17" s="9">
        <f>'Data Sheet'!B28/'Data Sheet'!B$17</f>
        <v>-1.2382610702708883E-2</v>
      </c>
      <c r="D17" s="9">
        <f>'Data Sheet'!C28/'Data Sheet'!C$17</f>
        <v>0.17148332234880148</v>
      </c>
      <c r="E17" s="9">
        <f>'Data Sheet'!D28/'Data Sheet'!D$17</f>
        <v>0.10046744131487112</v>
      </c>
      <c r="F17" s="9">
        <f>'Data Sheet'!E28/'Data Sheet'!E$17</f>
        <v>-9.9756359489374131E-3</v>
      </c>
      <c r="G17" s="9">
        <f>'Data Sheet'!F28/'Data Sheet'!F$17</f>
        <v>8.847085905057217E-2</v>
      </c>
      <c r="H17" s="9">
        <f>'Data Sheet'!G28/'Data Sheet'!G$17</f>
        <v>0.20588227939945852</v>
      </c>
      <c r="I17" s="9">
        <f>'Data Sheet'!H28/'Data Sheet'!H$17</f>
        <v>7.4932888557755414E-2</v>
      </c>
      <c r="J17" s="9">
        <f>'Data Sheet'!I28/'Data Sheet'!I$17</f>
        <v>-5.0051756161933036E-3</v>
      </c>
      <c r="K17" s="9">
        <f>'Data Sheet'!J28/'Data Sheet'!J$17</f>
        <v>3.8495348113280113E-2</v>
      </c>
      <c r="L17" s="9">
        <f>'Data Sheet'!K28/'Data Sheet'!K$17</f>
        <v>6.8789067490928099E-2</v>
      </c>
    </row>
    <row r="18" spans="2:12" x14ac:dyDescent="0.3">
      <c r="B18" s="75" t="str">
        <f>'Data Sheet'!A29</f>
        <v>Tax</v>
      </c>
      <c r="C18" s="9">
        <f>'Data Sheet'!B29/'Data Sheet'!B$17</f>
        <v>2.4737527584737306E-2</v>
      </c>
      <c r="D18" s="9">
        <f>'Data Sheet'!C29/'Data Sheet'!C$17</f>
        <v>2.7524183346779005E-2</v>
      </c>
      <c r="E18" s="9">
        <f>'Data Sheet'!D29/'Data Sheet'!D$17</f>
        <v>4.2610978861474288E-2</v>
      </c>
      <c r="F18" s="9">
        <f>'Data Sheet'!E29/'Data Sheet'!E$17</f>
        <v>-1.8369843648807206E-2</v>
      </c>
      <c r="G18" s="9">
        <f>'Data Sheet'!F29/'Data Sheet'!F$17</f>
        <v>3.6132374387611244E-2</v>
      </c>
      <c r="H18" s="9">
        <f>'Data Sheet'!G29/'Data Sheet'!G$17</f>
        <v>3.4749872283956366E-2</v>
      </c>
      <c r="I18" s="9">
        <f>'Data Sheet'!H29/'Data Sheet'!H$17</f>
        <v>4.1749158392290632E-2</v>
      </c>
      <c r="J18" s="9">
        <f>'Data Sheet'!I29/'Data Sheet'!I$17</f>
        <v>1.6418192581096072E-2</v>
      </c>
      <c r="K18" s="9">
        <f>'Data Sheet'!J29/'Data Sheet'!J$17</f>
        <v>2.3972864592797072E-2</v>
      </c>
      <c r="L18" s="9">
        <f>'Data Sheet'!K29/'Data Sheet'!K$17</f>
        <v>2.1895715144925082E-2</v>
      </c>
    </row>
    <row r="19" spans="2:12" x14ac:dyDescent="0.3">
      <c r="B19" s="75" t="str">
        <f>'Data Sheet'!A30</f>
        <v>Net profit</v>
      </c>
      <c r="C19" s="9">
        <f>'Data Sheet'!B30/'Data Sheet'!B$17</f>
        <v>-3.7763329498941317E-2</v>
      </c>
      <c r="D19" s="9">
        <f>'Data Sheet'!C30/'Data Sheet'!C$17</f>
        <v>0.10900147157297008</v>
      </c>
      <c r="E19" s="9">
        <f>'Data Sheet'!D30/'Data Sheet'!D$17</f>
        <v>6.4808749012725972E-2</v>
      </c>
      <c r="F19" s="9">
        <f>'Data Sheet'!E30/'Data Sheet'!E$17</f>
        <v>1.1132722747970289E-2</v>
      </c>
      <c r="G19" s="9">
        <f>'Data Sheet'!F30/'Data Sheet'!F$17</f>
        <v>4.7867743201254628E-2</v>
      </c>
      <c r="H19" s="9">
        <f>'Data Sheet'!G30/'Data Sheet'!G$17</f>
        <v>0.16459282920170618</v>
      </c>
      <c r="I19" s="9">
        <f>'Data Sheet'!H30/'Data Sheet'!H$17</f>
        <v>3.5998780206621096E-2</v>
      </c>
      <c r="J19" s="9">
        <f>'Data Sheet'!I30/'Data Sheet'!I$17</f>
        <v>-1.9363026996722703E-2</v>
      </c>
      <c r="K19" s="9">
        <f>'Data Sheet'!J30/'Data Sheet'!J$17</f>
        <v>1.5651462957938938E-2</v>
      </c>
      <c r="L19" s="9">
        <f>'Data Sheet'!K30/'Data Sheet'!K$17</f>
        <v>4.6497255060891293E-2</v>
      </c>
    </row>
    <row r="20" spans="2:12" x14ac:dyDescent="0.3">
      <c r="B20" s="75" t="str">
        <f>'Data Sheet'!A31</f>
        <v>Dividend Amount</v>
      </c>
      <c r="C20" s="9">
        <f>'Data Sheet'!B31/'Data Sheet'!B$17</f>
        <v>8.6397596710650875E-3</v>
      </c>
      <c r="D20" s="9">
        <f>'Data Sheet'!C31/'Data Sheet'!C$17</f>
        <v>9.2897252693265753E-3</v>
      </c>
      <c r="E20" s="9">
        <f>'Data Sheet'!D31/'Data Sheet'!D$17</f>
        <v>9.4401568754895939E-3</v>
      </c>
      <c r="F20" s="9">
        <f>'Data Sheet'!E31/'Data Sheet'!E$17</f>
        <v>8.18893887101429E-3</v>
      </c>
      <c r="G20" s="9">
        <f>'Data Sheet'!F31/'Data Sheet'!F$17</f>
        <v>1.9133881314490144E-2</v>
      </c>
      <c r="H20" s="9">
        <f>'Data Sheet'!G31/'Data Sheet'!G$17</f>
        <v>2.552955890118826E-2</v>
      </c>
      <c r="I20" s="9">
        <f>'Data Sheet'!H31/'Data Sheet'!H$17</f>
        <v>1.8066206705995319E-2</v>
      </c>
      <c r="J20" s="9">
        <f>'Data Sheet'!I31/'Data Sheet'!I$17</f>
        <v>1.9595779182668922E-2</v>
      </c>
      <c r="K20" s="9">
        <f>'Data Sheet'!J31/'Data Sheet'!J$17</f>
        <v>2.054877103772625E-2</v>
      </c>
      <c r="L20" s="9">
        <f>'Data Sheet'!K31/'Data Sheet'!K$17</f>
        <v>2.1494620873943538E-2</v>
      </c>
    </row>
    <row r="21" spans="2:12" x14ac:dyDescent="0.3">
      <c r="B21" s="75"/>
    </row>
    <row r="24" spans="2:12" x14ac:dyDescent="0.3">
      <c r="B24" s="176" t="str">
        <f>"Common Size Balance Sheet Statement" &amp;" "&amp;"-"&amp;'Data Sheet'!B1</f>
        <v>Common Size Balance Sheet Statement -TATA STEEL LTD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</row>
    <row r="25" spans="2:12" x14ac:dyDescent="0.3"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</row>
    <row r="26" spans="2:12" x14ac:dyDescent="0.3">
      <c r="B26" s="8" t="s">
        <v>237</v>
      </c>
      <c r="C26" s="76">
        <f>'Data Sheet'!B16</f>
        <v>42825</v>
      </c>
      <c r="D26" s="76">
        <f>'Data Sheet'!C16</f>
        <v>43190</v>
      </c>
      <c r="E26" s="76">
        <f>'Data Sheet'!D16</f>
        <v>43555</v>
      </c>
      <c r="F26" s="76">
        <f>'Data Sheet'!E16</f>
        <v>43921</v>
      </c>
      <c r="G26" s="76">
        <f>'Data Sheet'!F16</f>
        <v>44286</v>
      </c>
      <c r="H26" s="76">
        <f>'Data Sheet'!G16</f>
        <v>44651</v>
      </c>
      <c r="I26" s="76">
        <f>'Data Sheet'!H16</f>
        <v>45016</v>
      </c>
      <c r="J26" s="76">
        <f>'Data Sheet'!I16</f>
        <v>45382</v>
      </c>
      <c r="K26" s="76">
        <f>'Data Sheet'!J16</f>
        <v>45747</v>
      </c>
      <c r="L26" s="76">
        <f>'Data Sheet'!K16</f>
        <v>46112</v>
      </c>
    </row>
    <row r="28" spans="2:12" x14ac:dyDescent="0.3">
      <c r="B28" s="8" t="s">
        <v>238</v>
      </c>
      <c r="C28" s="79">
        <f>'Data Sheet'!B61/'Data Sheet'!B$61</f>
        <v>1</v>
      </c>
      <c r="D28" s="79">
        <f>'Data Sheet'!C61/'Data Sheet'!C$61</f>
        <v>1</v>
      </c>
      <c r="E28" s="79">
        <f>'Data Sheet'!D61/'Data Sheet'!D$61</f>
        <v>1</v>
      </c>
      <c r="F28" s="79">
        <f>'Data Sheet'!E61/'Data Sheet'!E$61</f>
        <v>1</v>
      </c>
      <c r="G28" s="79">
        <f>'Data Sheet'!F61/'Data Sheet'!F$61</f>
        <v>1</v>
      </c>
      <c r="H28" s="79">
        <f>'Data Sheet'!G61/'Data Sheet'!G$61</f>
        <v>1</v>
      </c>
      <c r="I28" s="79">
        <f>'Data Sheet'!H61/'Data Sheet'!H$61</f>
        <v>1</v>
      </c>
      <c r="J28" s="79">
        <f>'Data Sheet'!I61/'Data Sheet'!I$61</f>
        <v>1</v>
      </c>
      <c r="K28" s="79">
        <f>'Data Sheet'!J61/'Data Sheet'!J$61</f>
        <v>1</v>
      </c>
      <c r="L28" s="79">
        <f>'Data Sheet'!K61/'Data Sheet'!K$61</f>
        <v>1</v>
      </c>
    </row>
    <row r="29" spans="2:12" x14ac:dyDescent="0.3">
      <c r="B29" s="75" t="str">
        <f>'Data Sheet'!A57</f>
        <v>Equity Share Capital</v>
      </c>
      <c r="C29" s="9">
        <f>'Data Sheet'!B57/'Data Sheet'!B$61</f>
        <v>5.6262963013005074E-3</v>
      </c>
      <c r="D29" s="9">
        <f>'Data Sheet'!C57/'Data Sheet'!C$61</f>
        <v>5.4855225229101237E-3</v>
      </c>
      <c r="E29" s="9">
        <f>'Data Sheet'!D57/'Data Sheet'!D$61</f>
        <v>4.9186883177049752E-3</v>
      </c>
      <c r="F29" s="9">
        <f>'Data Sheet'!E57/'Data Sheet'!E$61</f>
        <v>4.595440674243602E-3</v>
      </c>
      <c r="G29" s="9">
        <f>'Data Sheet'!F57/'Data Sheet'!F$61</f>
        <v>4.9100650943082538E-3</v>
      </c>
      <c r="H29" s="9">
        <f>'Data Sheet'!G57/'Data Sheet'!G$61</f>
        <v>4.3240662092253763E-3</v>
      </c>
      <c r="I29" s="9">
        <f>'Data Sheet'!H57/'Data Sheet'!H$61</f>
        <v>4.2791102237040779E-3</v>
      </c>
      <c r="J29" s="9">
        <f>'Data Sheet'!I57/'Data Sheet'!I$61</f>
        <v>4.631943821974494E-3</v>
      </c>
      <c r="K29" s="9">
        <f>'Data Sheet'!J57/'Data Sheet'!J$61</f>
        <v>4.5285937363069252E-3</v>
      </c>
      <c r="L29" s="9">
        <f>'Data Sheet'!K57/'Data Sheet'!K$61</f>
        <v>4.2070100961632178E-3</v>
      </c>
    </row>
    <row r="30" spans="2:12" x14ac:dyDescent="0.3">
      <c r="B30" s="75" t="str">
        <f>'Data Sheet'!A58</f>
        <v>Reserves</v>
      </c>
      <c r="C30" s="9">
        <f>'Data Sheet'!B58/'Data Sheet'!B$61</f>
        <v>0.21368305008072899</v>
      </c>
      <c r="D30" s="9">
        <f>'Data Sheet'!C58/'Data Sheet'!C$61</f>
        <v>0.28614918379046894</v>
      </c>
      <c r="E30" s="9">
        <f>'Data Sheet'!D58/'Data Sheet'!D$61</f>
        <v>0.2911850252331194</v>
      </c>
      <c r="F30" s="9">
        <f>'Data Sheet'!E58/'Data Sheet'!E$61</f>
        <v>0.29071485381927098</v>
      </c>
      <c r="G30" s="9">
        <f>'Data Sheet'!F58/'Data Sheet'!F$61</f>
        <v>0.29946046723372743</v>
      </c>
      <c r="H30" s="9">
        <f>'Data Sheet'!G58/'Data Sheet'!G$61</f>
        <v>0.40089639722051079</v>
      </c>
      <c r="I30" s="9">
        <f>'Data Sheet'!H58/'Data Sheet'!H$61</f>
        <v>0.35691088354565015</v>
      </c>
      <c r="J30" s="9">
        <f>'Data Sheet'!I58/'Data Sheet'!I$61</f>
        <v>0.3371115227437339</v>
      </c>
      <c r="K30" s="9">
        <f>'Data Sheet'!J58/'Data Sheet'!J$61</f>
        <v>0.32644541331767557</v>
      </c>
      <c r="L30" s="9">
        <f>'Data Sheet'!K58/'Data Sheet'!K$61</f>
        <v>0.3403549207792857</v>
      </c>
    </row>
    <row r="31" spans="2:12" x14ac:dyDescent="0.3">
      <c r="B31" s="75" t="str">
        <f>'Data Sheet'!A59</f>
        <v>Borrowings</v>
      </c>
      <c r="C31" s="9">
        <f>'Data Sheet'!B59/'Data Sheet'!B$61</f>
        <v>0.48139029316596715</v>
      </c>
      <c r="D31" s="9">
        <f>'Data Sheet'!C59/'Data Sheet'!C$61</f>
        <v>0.44148191466415587</v>
      </c>
      <c r="E31" s="9">
        <f>'Data Sheet'!D59/'Data Sheet'!D$61</f>
        <v>0.43310877735879144</v>
      </c>
      <c r="F31" s="9">
        <f>'Data Sheet'!E59/'Data Sheet'!E$61</f>
        <v>0.46690190998868469</v>
      </c>
      <c r="G31" s="9">
        <f>'Data Sheet'!F59/'Data Sheet'!F$61</f>
        <v>0.36284573779282364</v>
      </c>
      <c r="H31" s="9">
        <f>'Data Sheet'!G59/'Data Sheet'!G$61</f>
        <v>0.26754798950094733</v>
      </c>
      <c r="I31" s="9">
        <f>'Data Sheet'!H59/'Data Sheet'!H$61</f>
        <v>0.2974572714424859</v>
      </c>
      <c r="J31" s="9">
        <f>'Data Sheet'!I59/'Data Sheet'!I$61</f>
        <v>0.32334981060286783</v>
      </c>
      <c r="K31" s="9">
        <f>'Data Sheet'!J59/'Data Sheet'!J$61</f>
        <v>0.34415718689902486</v>
      </c>
      <c r="L31" s="9">
        <f>'Data Sheet'!K59/'Data Sheet'!K$61</f>
        <v>0.31155860038199801</v>
      </c>
    </row>
    <row r="32" spans="2:12" x14ac:dyDescent="0.3">
      <c r="B32" s="75" t="str">
        <f>'Data Sheet'!A60</f>
        <v>Other Liabilities</v>
      </c>
      <c r="C32" s="9">
        <f>'Data Sheet'!B60/'Data Sheet'!B$61</f>
        <v>0.29930036045200342</v>
      </c>
      <c r="D32" s="9">
        <f>'Data Sheet'!C60/'Data Sheet'!C$61</f>
        <v>0.26688337902246495</v>
      </c>
      <c r="E32" s="9">
        <f>'Data Sheet'!D60/'Data Sheet'!D$61</f>
        <v>0.27078750909038418</v>
      </c>
      <c r="F32" s="9">
        <f>'Data Sheet'!E60/'Data Sheet'!E$61</f>
        <v>0.23778779551780077</v>
      </c>
      <c r="G32" s="9">
        <f>'Data Sheet'!F60/'Data Sheet'!F$61</f>
        <v>0.33278372987914068</v>
      </c>
      <c r="H32" s="9">
        <f>'Data Sheet'!G60/'Data Sheet'!G$61</f>
        <v>0.32723154706931662</v>
      </c>
      <c r="I32" s="9">
        <f>'Data Sheet'!H60/'Data Sheet'!H$61</f>
        <v>0.34135273478815981</v>
      </c>
      <c r="J32" s="9">
        <f>'Data Sheet'!I60/'Data Sheet'!I$61</f>
        <v>0.33490672283142381</v>
      </c>
      <c r="K32" s="9">
        <f>'Data Sheet'!J60/'Data Sheet'!J$61</f>
        <v>0.32486880604699259</v>
      </c>
      <c r="L32" s="9">
        <f>'Data Sheet'!K60/'Data Sheet'!K$61</f>
        <v>0.34387946874255304</v>
      </c>
    </row>
    <row r="34" spans="2:12" x14ac:dyDescent="0.3">
      <c r="B34" s="78" t="str">
        <f>'Data Sheet'!A61&amp;" "&amp; "Assets"</f>
        <v>Total Assets</v>
      </c>
      <c r="C34" s="79">
        <f>'Data Sheet'!B66/'Data Sheet'!B$66</f>
        <v>1</v>
      </c>
      <c r="D34" s="79">
        <f>'Data Sheet'!C66/'Data Sheet'!C$66</f>
        <v>1</v>
      </c>
      <c r="E34" s="79">
        <f>'Data Sheet'!D66/'Data Sheet'!D$66</f>
        <v>1</v>
      </c>
      <c r="F34" s="79">
        <f>'Data Sheet'!E66/'Data Sheet'!E$66</f>
        <v>1</v>
      </c>
      <c r="G34" s="79">
        <f>'Data Sheet'!F66/'Data Sheet'!F$66</f>
        <v>1</v>
      </c>
      <c r="H34" s="79">
        <f>'Data Sheet'!G66/'Data Sheet'!G$66</f>
        <v>1</v>
      </c>
      <c r="I34" s="79">
        <f>'Data Sheet'!H66/'Data Sheet'!H$66</f>
        <v>1</v>
      </c>
      <c r="J34" s="79">
        <f>'Data Sheet'!I66/'Data Sheet'!I$66</f>
        <v>1</v>
      </c>
      <c r="K34" s="79">
        <f>'Data Sheet'!J66/'Data Sheet'!J$66</f>
        <v>1</v>
      </c>
      <c r="L34" s="79">
        <f>'Data Sheet'!K66/'Data Sheet'!K$66</f>
        <v>1</v>
      </c>
    </row>
    <row r="35" spans="2:12" x14ac:dyDescent="0.3">
      <c r="B35" s="75" t="str">
        <f>'Data Sheet'!A62</f>
        <v>Net Block</v>
      </c>
      <c r="C35" s="9">
        <f>'Data Sheet'!B62/'Data Sheet'!B$66</f>
        <v>0.53353408637081567</v>
      </c>
      <c r="D35" s="9">
        <f>'Data Sheet'!C62/'Data Sheet'!C$66</f>
        <v>0.46044415796043481</v>
      </c>
      <c r="E35" s="9">
        <f>'Data Sheet'!D62/'Data Sheet'!D$66</f>
        <v>0.53460527970888772</v>
      </c>
      <c r="F35" s="9">
        <f>'Data Sheet'!E62/'Data Sheet'!E$66</f>
        <v>0.54004067925264998</v>
      </c>
      <c r="G35" s="9">
        <f>'Data Sheet'!F62/'Data Sheet'!F$66</f>
        <v>0.55666283012952478</v>
      </c>
      <c r="H35" s="9">
        <f>'Data Sheet'!G62/'Data Sheet'!G$66</f>
        <v>0.47194618599911259</v>
      </c>
      <c r="I35" s="9">
        <f>'Data Sheet'!H62/'Data Sheet'!H$66</f>
        <v>0.51374782065803493</v>
      </c>
      <c r="J35" s="9">
        <f>'Data Sheet'!I62/'Data Sheet'!I$66</f>
        <v>0.55257154497367789</v>
      </c>
      <c r="K35" s="9">
        <f>'Data Sheet'!J62/'Data Sheet'!J$66</f>
        <v>0.54786480058090758</v>
      </c>
      <c r="L35" s="9">
        <f>'Data Sheet'!K62/'Data Sheet'!K$66</f>
        <v>0.60674286482062845</v>
      </c>
    </row>
    <row r="36" spans="2:12" x14ac:dyDescent="0.3">
      <c r="B36" s="75" t="str">
        <f>'Data Sheet'!A63</f>
        <v>Capital Work in Progress</v>
      </c>
      <c r="C36" s="9">
        <f>'Data Sheet'!B63/'Data Sheet'!B$66</f>
        <v>9.1530128873522396E-2</v>
      </c>
      <c r="D36" s="9">
        <f>'Data Sheet'!C63/'Data Sheet'!C$66</f>
        <v>7.9600611607374278E-2</v>
      </c>
      <c r="E36" s="9">
        <f>'Data Sheet'!D63/'Data Sheet'!D$66</f>
        <v>8.0083062741178712E-2</v>
      </c>
      <c r="F36" s="9">
        <f>'Data Sheet'!E63/'Data Sheet'!E$66</f>
        <v>7.8253657889700762E-2</v>
      </c>
      <c r="G36" s="9">
        <f>'Data Sheet'!F63/'Data Sheet'!F$66</f>
        <v>7.7928183025822037E-2</v>
      </c>
      <c r="H36" s="9">
        <f>'Data Sheet'!G63/'Data Sheet'!G$66</f>
        <v>7.8058988887077962E-2</v>
      </c>
      <c r="I36" s="9">
        <f>'Data Sheet'!H63/'Data Sheet'!H$66</f>
        <v>0.10936748959637735</v>
      </c>
      <c r="J36" s="9">
        <f>'Data Sheet'!I63/'Data Sheet'!I$66</f>
        <v>0.12756756632315733</v>
      </c>
      <c r="K36" s="9">
        <f>'Data Sheet'!J63/'Data Sheet'!J$66</f>
        <v>0.15110202775313805</v>
      </c>
      <c r="L36" s="9">
        <f>'Data Sheet'!K63/'Data Sheet'!K$66</f>
        <v>9.6105581573009788E-2</v>
      </c>
    </row>
    <row r="37" spans="2:12" x14ac:dyDescent="0.3">
      <c r="B37" s="75" t="str">
        <f>'Data Sheet'!A64</f>
        <v>Investments</v>
      </c>
      <c r="C37" s="9">
        <f>'Data Sheet'!B64/'Data Sheet'!B$66</f>
        <v>7.2237228088778624E-2</v>
      </c>
      <c r="D37" s="9">
        <f>'Data Sheet'!C64/'Data Sheet'!C$66</f>
        <v>8.5757409348141023E-2</v>
      </c>
      <c r="E37" s="9">
        <f>'Data Sheet'!D64/'Data Sheet'!D$66</f>
        <v>2.4651309015324085E-2</v>
      </c>
      <c r="F37" s="9">
        <f>'Data Sheet'!E64/'Data Sheet'!E$66</f>
        <v>2.5226579166725535E-2</v>
      </c>
      <c r="G37" s="9">
        <f>'Data Sheet'!F64/'Data Sheet'!F$66</f>
        <v>4.3794700806476378E-2</v>
      </c>
      <c r="H37" s="9">
        <f>'Data Sheet'!G64/'Data Sheet'!G$66</f>
        <v>4.6525643729817198E-2</v>
      </c>
      <c r="I37" s="9">
        <f>'Data Sheet'!H64/'Data Sheet'!H$66</f>
        <v>2.9468936085880453E-2</v>
      </c>
      <c r="J37" s="9">
        <f>'Data Sheet'!I64/'Data Sheet'!I$66</f>
        <v>2.323535617109675E-2</v>
      </c>
      <c r="K37" s="9">
        <f>'Data Sheet'!J64/'Data Sheet'!J$66</f>
        <v>2.2486538629510104E-2</v>
      </c>
      <c r="L37" s="9">
        <f>'Data Sheet'!K64/'Data Sheet'!K$66</f>
        <v>2.390725287002712E-2</v>
      </c>
    </row>
    <row r="38" spans="2:12" x14ac:dyDescent="0.3">
      <c r="B38" s="75" t="str">
        <f>'Data Sheet'!A65</f>
        <v>Other Assets</v>
      </c>
      <c r="C38" s="9">
        <f>'Data Sheet'!B75/'Data Sheet'!B$66</f>
        <v>6.3137408242294427E-2</v>
      </c>
      <c r="D38" s="9">
        <f>'Data Sheet'!C75/'Data Sheet'!C$66</f>
        <v>0.14094796076736277</v>
      </c>
      <c r="E38" s="9">
        <f>'Data Sheet'!D75/'Data Sheet'!D$66</f>
        <v>0.15957009528234833</v>
      </c>
      <c r="F38" s="9">
        <f>'Data Sheet'!E75/'Data Sheet'!E$66</f>
        <v>0.16780352264539403</v>
      </c>
      <c r="G38" s="9">
        <f>'Data Sheet'!F75/'Data Sheet'!F$66</f>
        <v>0.12236636102149324</v>
      </c>
      <c r="H38" s="9">
        <f>'Data Sheet'!G75/'Data Sheet'!G$66</f>
        <v>0.13093432242646255</v>
      </c>
      <c r="I38" s="9">
        <f>'Data Sheet'!H75/'Data Sheet'!H$66</f>
        <v>8.1014372391911338E-2</v>
      </c>
      <c r="J38" s="9">
        <f>'Data Sheet'!I75/'Data Sheet'!I$66</f>
        <v>5.8616605947843035E-2</v>
      </c>
      <c r="K38" s="9">
        <f>'Data Sheet'!J75/'Data Sheet'!J$66</f>
        <v>5.52935399579857E-2</v>
      </c>
      <c r="L38" s="9">
        <f>'Data Sheet'!K75/'Data Sheet'!K$66</f>
        <v>6.3394142251737853E-2</v>
      </c>
    </row>
    <row r="39" spans="2:12" x14ac:dyDescent="0.3">
      <c r="B39" s="75" t="str">
        <f>'Data Sheet'!A67</f>
        <v>Receivables</v>
      </c>
      <c r="C39" s="9">
        <f>'Data Sheet'!B67/'Data Sheet'!B$66</f>
        <v>6.7190470924549328E-2</v>
      </c>
      <c r="D39" s="9">
        <f>'Data Sheet'!C67/'Data Sheet'!C$66</f>
        <v>5.9483483640020172E-2</v>
      </c>
      <c r="E39" s="9">
        <f>'Data Sheet'!D67/'Data Sheet'!D$66</f>
        <v>5.0740325013025542E-2</v>
      </c>
      <c r="F39" s="9">
        <f>'Data Sheet'!E67/'Data Sheet'!E$66</f>
        <v>3.1647352396829656E-2</v>
      </c>
      <c r="G39" s="9">
        <f>'Data Sheet'!F67/'Data Sheet'!F$66</f>
        <v>3.9112261411716386E-2</v>
      </c>
      <c r="H39" s="9">
        <f>'Data Sheet'!G67/'Data Sheet'!G$66</f>
        <v>4.3362217920459155E-2</v>
      </c>
      <c r="I39" s="9">
        <f>'Data Sheet'!H67/'Data Sheet'!H$66</f>
        <v>2.8932593186906965E-2</v>
      </c>
      <c r="J39" s="9">
        <f>'Data Sheet'!I67/'Data Sheet'!I$66</f>
        <v>2.325748660236316E-2</v>
      </c>
      <c r="K39" s="9">
        <f>'Data Sheet'!J67/'Data Sheet'!J$66</f>
        <v>1.9095647701371291E-2</v>
      </c>
      <c r="L39" s="9">
        <f>'Data Sheet'!K67/'Data Sheet'!K$66</f>
        <v>1.6582285217504621E-2</v>
      </c>
    </row>
    <row r="40" spans="2:12" x14ac:dyDescent="0.3">
      <c r="B40" s="75" t="str">
        <f>'Data Sheet'!A68</f>
        <v>Inventory</v>
      </c>
      <c r="C40" s="9">
        <f>'Data Sheet'!B68/'Data Sheet'!B$66</f>
        <v>0.14383414487562204</v>
      </c>
      <c r="D40" s="9">
        <f>'Data Sheet'!C68/'Data Sheet'!C$66</f>
        <v>0.13573567231535666</v>
      </c>
      <c r="E40" s="9">
        <f>'Data Sheet'!D68/'Data Sheet'!D$66</f>
        <v>0.13599532661458283</v>
      </c>
      <c r="F40" s="9">
        <f>'Data Sheet'!E68/'Data Sheet'!E$66</f>
        <v>0.12469929654979316</v>
      </c>
      <c r="G40" s="9">
        <f>'Data Sheet'!F68/'Data Sheet'!F$66</f>
        <v>0.13642938177114194</v>
      </c>
      <c r="H40" s="9">
        <f>'Data Sheet'!G68/'Data Sheet'!G$66</f>
        <v>0.1728776336461717</v>
      </c>
      <c r="I40" s="9">
        <f>'Data Sheet'!H68/'Data Sheet'!H$66</f>
        <v>0.19066620396419315</v>
      </c>
      <c r="J40" s="9">
        <f>'Data Sheet'!I68/'Data Sheet'!I$66</f>
        <v>0.18252968058435629</v>
      </c>
      <c r="K40" s="9">
        <f>'Data Sheet'!J68/'Data Sheet'!J$66</f>
        <v>0.16187529900139613</v>
      </c>
      <c r="L40" s="9">
        <f>'Data Sheet'!K68/'Data Sheet'!K$66</f>
        <v>0.15934870260360182</v>
      </c>
    </row>
    <row r="41" spans="2:12" x14ac:dyDescent="0.3">
      <c r="B41" s="75" t="str">
        <f>'Data Sheet'!A69</f>
        <v>Cash &amp; Bank</v>
      </c>
      <c r="C41" s="9">
        <f>'Data Sheet'!B69/'Data Sheet'!B$66</f>
        <v>2.8536532624417528E-2</v>
      </c>
      <c r="D41" s="9">
        <f>'Data Sheet'!C69/'Data Sheet'!C$66</f>
        <v>3.8030704361310209E-2</v>
      </c>
      <c r="E41" s="9">
        <f>'Data Sheet'!D69/'Data Sheet'!D$66</f>
        <v>1.435460162465271E-2</v>
      </c>
      <c r="F41" s="9">
        <f>'Data Sheet'!E69/'Data Sheet'!E$66</f>
        <v>3.232891209890687E-2</v>
      </c>
      <c r="G41" s="9">
        <f>'Data Sheet'!F69/'Data Sheet'!F$66</f>
        <v>2.3706281833825123E-2</v>
      </c>
      <c r="H41" s="9">
        <f>'Data Sheet'!G69/'Data Sheet'!G$66</f>
        <v>5.629500739089887E-2</v>
      </c>
      <c r="I41" s="9">
        <f>'Data Sheet'!H69/'Data Sheet'!H$66</f>
        <v>4.6802584116695765E-2</v>
      </c>
      <c r="J41" s="9">
        <f>'Data Sheet'!I69/'Data Sheet'!I$66</f>
        <v>3.2221759397505691E-2</v>
      </c>
      <c r="K41" s="9">
        <f>'Data Sheet'!J69/'Data Sheet'!J$66</f>
        <v>4.2282146375691033E-2</v>
      </c>
      <c r="L41" s="9">
        <f>'Data Sheet'!K69/'Data Sheet'!K$66</f>
        <v>3.3919170663490393E-2</v>
      </c>
    </row>
  </sheetData>
  <mergeCells count="2">
    <mergeCell ref="B2:L3"/>
    <mergeCell ref="B24:L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EE51-48E1-40E9-B1B3-EEC4A2588EFF}">
  <dimension ref="B1:N46"/>
  <sheetViews>
    <sheetView showGridLines="0" zoomScale="82" workbookViewId="0">
      <selection activeCell="C10" sqref="C10"/>
    </sheetView>
  </sheetViews>
  <sheetFormatPr defaultRowHeight="14.4" x14ac:dyDescent="0.3"/>
  <cols>
    <col min="1" max="1" width="2.33203125" customWidth="1"/>
    <col min="2" max="2" width="24" bestFit="1" customWidth="1"/>
    <col min="3" max="14" width="10" bestFit="1" customWidth="1"/>
  </cols>
  <sheetData>
    <row r="1" spans="2:14" ht="18.600000000000001" customHeight="1" x14ac:dyDescent="0.3"/>
    <row r="2" spans="2:14" ht="18.600000000000001" customHeight="1" x14ac:dyDescent="0.3"/>
    <row r="3" spans="2:14" ht="18.600000000000001" customHeight="1" x14ac:dyDescent="0.3"/>
    <row r="4" spans="2:14" s="8" customFormat="1" x14ac:dyDescent="0.3">
      <c r="B4" s="39" t="s">
        <v>237</v>
      </c>
      <c r="C4" s="40">
        <v>42064</v>
      </c>
      <c r="D4" s="40">
        <v>42430</v>
      </c>
      <c r="E4" s="40">
        <v>42795</v>
      </c>
      <c r="F4" s="40">
        <v>43160</v>
      </c>
      <c r="G4" s="40">
        <v>43525</v>
      </c>
      <c r="H4" s="40">
        <v>43891</v>
      </c>
      <c r="I4" s="40">
        <v>44256</v>
      </c>
      <c r="J4" s="40">
        <v>44621</v>
      </c>
      <c r="K4" s="40">
        <v>44986</v>
      </c>
      <c r="L4" s="40">
        <v>45352</v>
      </c>
      <c r="M4" s="40">
        <v>45717</v>
      </c>
      <c r="N4" s="40">
        <v>46082</v>
      </c>
    </row>
    <row r="5" spans="2:14" x14ac:dyDescent="0.3">
      <c r="B5" s="8" t="s">
        <v>239</v>
      </c>
      <c r="C5" s="83">
        <v>971</v>
      </c>
      <c r="D5" s="83">
        <v>970</v>
      </c>
      <c r="E5" s="83">
        <v>970</v>
      </c>
      <c r="F5" s="83">
        <v>1145</v>
      </c>
      <c r="G5" s="83">
        <v>1145</v>
      </c>
      <c r="H5" s="83">
        <v>1145</v>
      </c>
      <c r="I5" s="83">
        <v>1198</v>
      </c>
      <c r="J5" s="83">
        <v>1221</v>
      </c>
      <c r="K5" s="83">
        <v>1221</v>
      </c>
      <c r="L5" s="83">
        <v>1247</v>
      </c>
      <c r="M5" s="83">
        <v>1247</v>
      </c>
      <c r="N5" s="83">
        <v>1247</v>
      </c>
    </row>
    <row r="6" spans="2:14" x14ac:dyDescent="0.3">
      <c r="B6" s="8" t="s">
        <v>11</v>
      </c>
      <c r="C6" s="83">
        <v>30378</v>
      </c>
      <c r="D6" s="83">
        <v>42762</v>
      </c>
      <c r="E6" s="83">
        <v>36849</v>
      </c>
      <c r="F6" s="83">
        <v>59726</v>
      </c>
      <c r="G6" s="83">
        <v>67780</v>
      </c>
      <c r="H6" s="83">
        <v>72431</v>
      </c>
      <c r="I6" s="83">
        <v>73041</v>
      </c>
      <c r="J6" s="83">
        <v>113222</v>
      </c>
      <c r="K6" s="83">
        <v>101861</v>
      </c>
      <c r="L6" s="83">
        <v>90788</v>
      </c>
      <c r="M6" s="83">
        <v>89922</v>
      </c>
      <c r="N6" s="83">
        <v>100920</v>
      </c>
    </row>
    <row r="7" spans="2:14" x14ac:dyDescent="0.3">
      <c r="B7" s="8" t="s">
        <v>269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</row>
    <row r="8" spans="2:14" x14ac:dyDescent="0.3">
      <c r="B8" t="s">
        <v>240</v>
      </c>
      <c r="C8" s="83">
        <v>65675</v>
      </c>
      <c r="D8" s="83">
        <v>64873</v>
      </c>
      <c r="E8" s="83">
        <v>64022</v>
      </c>
      <c r="F8" s="83">
        <v>72789</v>
      </c>
      <c r="G8" s="83">
        <v>80343</v>
      </c>
      <c r="H8" s="83">
        <v>94105</v>
      </c>
      <c r="I8" s="83">
        <v>65698</v>
      </c>
      <c r="J8" s="83">
        <v>44764</v>
      </c>
      <c r="K8" s="83">
        <v>51446</v>
      </c>
      <c r="L8" s="83">
        <v>51577</v>
      </c>
      <c r="M8" s="83">
        <v>68552</v>
      </c>
      <c r="N8" s="83">
        <v>63754</v>
      </c>
    </row>
    <row r="9" spans="2:14" x14ac:dyDescent="0.3">
      <c r="B9" t="s">
        <v>241</v>
      </c>
      <c r="C9" s="83">
        <v>9599</v>
      </c>
      <c r="D9" s="83">
        <v>15722</v>
      </c>
      <c r="E9" s="83">
        <v>18328</v>
      </c>
      <c r="F9" s="83">
        <v>15885</v>
      </c>
      <c r="G9" s="83">
        <v>10802</v>
      </c>
      <c r="H9" s="83">
        <v>19184</v>
      </c>
      <c r="I9" s="83">
        <v>14969</v>
      </c>
      <c r="J9" s="83">
        <v>24065</v>
      </c>
      <c r="K9" s="83">
        <v>26571</v>
      </c>
      <c r="L9" s="83">
        <v>29997</v>
      </c>
      <c r="M9" s="83">
        <v>20412</v>
      </c>
      <c r="N9" s="83">
        <v>21203</v>
      </c>
    </row>
    <row r="10" spans="2:14" x14ac:dyDescent="0.3">
      <c r="B10" t="s">
        <v>242</v>
      </c>
      <c r="C10" s="83">
        <v>0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7834</v>
      </c>
      <c r="J10" s="83">
        <v>6733</v>
      </c>
      <c r="K10" s="83">
        <v>6875</v>
      </c>
      <c r="L10" s="83">
        <v>5508</v>
      </c>
      <c r="M10" s="83">
        <v>5837</v>
      </c>
      <c r="N10" s="83">
        <v>7425</v>
      </c>
    </row>
    <row r="11" spans="2:14" x14ac:dyDescent="0.3">
      <c r="B11" t="s">
        <v>243</v>
      </c>
      <c r="C11" s="83">
        <v>0</v>
      </c>
      <c r="D11" s="83">
        <v>0</v>
      </c>
      <c r="E11" s="83">
        <v>0</v>
      </c>
      <c r="F11" s="83">
        <v>20</v>
      </c>
      <c r="G11" s="83">
        <v>13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</row>
    <row r="12" spans="2:14" x14ac:dyDescent="0.3">
      <c r="B12" t="s">
        <v>244</v>
      </c>
      <c r="C12" s="83">
        <v>5428</v>
      </c>
      <c r="D12" s="83">
        <v>1392</v>
      </c>
      <c r="E12" s="83">
        <v>664</v>
      </c>
      <c r="F12" s="83">
        <v>3453</v>
      </c>
      <c r="G12" s="83">
        <v>9658</v>
      </c>
      <c r="H12" s="83">
        <v>3039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</row>
    <row r="13" spans="2:14" x14ac:dyDescent="0.3">
      <c r="B13" s="8" t="s">
        <v>270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</row>
    <row r="14" spans="2:14" x14ac:dyDescent="0.3">
      <c r="B14" t="s">
        <v>245</v>
      </c>
      <c r="C14" s="83">
        <v>1704</v>
      </c>
      <c r="D14" s="83">
        <v>781</v>
      </c>
      <c r="E14" s="83">
        <v>1602</v>
      </c>
      <c r="F14" s="83">
        <v>937</v>
      </c>
      <c r="G14" s="83">
        <v>2364</v>
      </c>
      <c r="H14" s="83">
        <v>2587</v>
      </c>
      <c r="I14" s="83">
        <v>3270</v>
      </c>
      <c r="J14" s="83">
        <v>2655</v>
      </c>
      <c r="K14" s="83">
        <v>2093</v>
      </c>
      <c r="L14" s="83">
        <v>397</v>
      </c>
      <c r="M14" s="83">
        <v>183</v>
      </c>
      <c r="N14" s="83">
        <v>1613</v>
      </c>
    </row>
    <row r="15" spans="2:14" x14ac:dyDescent="0.3">
      <c r="B15" t="s">
        <v>246</v>
      </c>
      <c r="C15" s="83">
        <v>19190</v>
      </c>
      <c r="D15" s="83">
        <v>18557</v>
      </c>
      <c r="E15" s="83">
        <v>18574</v>
      </c>
      <c r="F15" s="83">
        <v>20414</v>
      </c>
      <c r="G15" s="83">
        <v>21717</v>
      </c>
      <c r="H15" s="83">
        <v>21381</v>
      </c>
      <c r="I15" s="83">
        <v>25967</v>
      </c>
      <c r="J15" s="83">
        <v>36765</v>
      </c>
      <c r="K15" s="83">
        <v>37833</v>
      </c>
      <c r="L15" s="83">
        <v>30228</v>
      </c>
      <c r="M15" s="83">
        <v>29314</v>
      </c>
      <c r="N15" s="83">
        <v>34810</v>
      </c>
    </row>
    <row r="16" spans="2:14" x14ac:dyDescent="0.3">
      <c r="B16" t="s">
        <v>247</v>
      </c>
      <c r="C16" s="83">
        <v>367</v>
      </c>
      <c r="D16" s="83">
        <v>456</v>
      </c>
      <c r="E16" s="83">
        <v>566</v>
      </c>
      <c r="F16" s="83">
        <v>616</v>
      </c>
      <c r="G16" s="83">
        <v>819</v>
      </c>
      <c r="H16" s="83">
        <v>869</v>
      </c>
      <c r="I16" s="83">
        <v>2399</v>
      </c>
      <c r="J16" s="83">
        <v>3253</v>
      </c>
      <c r="K16" s="83">
        <v>3394</v>
      </c>
      <c r="L16" s="83">
        <v>2771</v>
      </c>
      <c r="M16" s="83">
        <v>1655</v>
      </c>
      <c r="N16" s="83">
        <v>2222</v>
      </c>
    </row>
    <row r="17" spans="2:14" x14ac:dyDescent="0.3">
      <c r="B17" t="s">
        <v>248</v>
      </c>
      <c r="C17" s="22">
        <v>25798</v>
      </c>
      <c r="D17" s="22">
        <v>31371</v>
      </c>
      <c r="E17" s="22">
        <v>30871</v>
      </c>
      <c r="F17" s="22">
        <v>33738</v>
      </c>
      <c r="G17" s="22">
        <v>38131</v>
      </c>
      <c r="H17" s="22">
        <v>34408</v>
      </c>
      <c r="I17" s="22">
        <v>49533</v>
      </c>
      <c r="J17" s="22">
        <v>49744</v>
      </c>
      <c r="K17" s="22">
        <v>54101</v>
      </c>
      <c r="L17" s="22">
        <v>56799</v>
      </c>
      <c r="M17" s="22">
        <v>58335</v>
      </c>
      <c r="N17" s="22">
        <v>63320</v>
      </c>
    </row>
    <row r="18" spans="2:14" x14ac:dyDescent="0.3">
      <c r="B18" s="85" t="s">
        <v>82</v>
      </c>
      <c r="C18" s="86">
        <v>159109</v>
      </c>
      <c r="D18" s="86">
        <v>176884</v>
      </c>
      <c r="E18" s="86">
        <v>172447</v>
      </c>
      <c r="F18" s="86">
        <v>208722</v>
      </c>
      <c r="G18" s="86">
        <v>232773</v>
      </c>
      <c r="H18" s="86">
        <v>249149</v>
      </c>
      <c r="I18" s="86">
        <v>243909</v>
      </c>
      <c r="J18" s="86">
        <v>282422</v>
      </c>
      <c r="K18" s="86">
        <v>285396</v>
      </c>
      <c r="L18" s="86">
        <v>269312</v>
      </c>
      <c r="M18" s="86">
        <v>275459</v>
      </c>
      <c r="N18" s="86">
        <v>296515</v>
      </c>
    </row>
    <row r="19" spans="2:14" x14ac:dyDescent="0.3">
      <c r="B19" s="8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</row>
    <row r="20" spans="2:14" x14ac:dyDescent="0.3">
      <c r="B20" s="8" t="s">
        <v>272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</row>
    <row r="21" spans="2:14" x14ac:dyDescent="0.3">
      <c r="B21" t="s">
        <v>249</v>
      </c>
      <c r="C21" s="83">
        <v>2433</v>
      </c>
      <c r="D21" s="83">
        <v>16499</v>
      </c>
      <c r="E21" s="83">
        <v>16545</v>
      </c>
      <c r="F21" s="83">
        <v>16955</v>
      </c>
      <c r="G21" s="83">
        <v>17126</v>
      </c>
      <c r="H21" s="83">
        <v>19853</v>
      </c>
      <c r="I21" s="83">
        <v>20656</v>
      </c>
      <c r="J21" s="83">
        <v>20770</v>
      </c>
      <c r="K21" s="83">
        <v>21701</v>
      </c>
      <c r="L21" s="83">
        <v>22067</v>
      </c>
      <c r="M21" s="83">
        <v>22299</v>
      </c>
      <c r="N21" s="83">
        <v>23659</v>
      </c>
    </row>
    <row r="22" spans="2:14" x14ac:dyDescent="0.3">
      <c r="B22" t="s">
        <v>250</v>
      </c>
      <c r="C22" s="83">
        <v>14186</v>
      </c>
      <c r="D22" s="83">
        <v>11058</v>
      </c>
      <c r="E22" s="83">
        <v>11141</v>
      </c>
      <c r="F22" s="83">
        <v>12148</v>
      </c>
      <c r="G22" s="83">
        <v>21753</v>
      </c>
      <c r="H22" s="83">
        <v>25883</v>
      </c>
      <c r="I22" s="83">
        <v>26828</v>
      </c>
      <c r="J22" s="83">
        <v>27588</v>
      </c>
      <c r="K22" s="83">
        <v>28904</v>
      </c>
      <c r="L22" s="83">
        <v>30173</v>
      </c>
      <c r="M22" s="83">
        <v>31819</v>
      </c>
      <c r="N22" s="83">
        <v>36997</v>
      </c>
    </row>
    <row r="23" spans="2:14" x14ac:dyDescent="0.3">
      <c r="B23" t="s">
        <v>251</v>
      </c>
      <c r="C23" s="83">
        <v>124249</v>
      </c>
      <c r="D23" s="83">
        <v>73865</v>
      </c>
      <c r="E23" s="83">
        <v>93462</v>
      </c>
      <c r="F23" s="83">
        <v>104889</v>
      </c>
      <c r="G23" s="83">
        <v>127435</v>
      </c>
      <c r="H23" s="83">
        <v>141914</v>
      </c>
      <c r="I23" s="83">
        <v>155596</v>
      </c>
      <c r="J23" s="83">
        <v>152754</v>
      </c>
      <c r="K23" s="83">
        <v>163134</v>
      </c>
      <c r="L23" s="83">
        <v>175111</v>
      </c>
      <c r="M23" s="83">
        <v>186115</v>
      </c>
      <c r="N23" s="83">
        <v>224912</v>
      </c>
    </row>
    <row r="24" spans="2:14" x14ac:dyDescent="0.3">
      <c r="B24" t="s">
        <v>252</v>
      </c>
      <c r="C24" s="83">
        <v>403</v>
      </c>
      <c r="D24" s="83">
        <v>414</v>
      </c>
      <c r="E24" s="83">
        <v>543</v>
      </c>
      <c r="F24" s="83">
        <v>668</v>
      </c>
      <c r="G24" s="83">
        <v>739</v>
      </c>
      <c r="H24" s="83">
        <v>796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  <c r="N24" s="83">
        <v>0</v>
      </c>
    </row>
    <row r="25" spans="2:14" x14ac:dyDescent="0.3">
      <c r="B25" t="s">
        <v>253</v>
      </c>
      <c r="C25" s="83">
        <v>916</v>
      </c>
      <c r="D25" s="83">
        <v>0</v>
      </c>
      <c r="E25" s="83">
        <v>0</v>
      </c>
      <c r="F25" s="83">
        <v>0</v>
      </c>
      <c r="G25" s="83">
        <v>0</v>
      </c>
      <c r="H25" s="83">
        <v>19</v>
      </c>
      <c r="I25" s="83">
        <v>1047</v>
      </c>
      <c r="J25" s="83">
        <v>991</v>
      </c>
      <c r="K25" s="83">
        <v>1111</v>
      </c>
      <c r="L25" s="83">
        <v>1238</v>
      </c>
      <c r="M25" s="83">
        <v>1298</v>
      </c>
      <c r="N25" s="83">
        <v>1429</v>
      </c>
    </row>
    <row r="26" spans="2:14" x14ac:dyDescent="0.3">
      <c r="B26" t="s">
        <v>254</v>
      </c>
      <c r="C26" s="83">
        <v>1239</v>
      </c>
      <c r="D26" s="83">
        <v>757</v>
      </c>
      <c r="E26" s="83">
        <v>1350</v>
      </c>
      <c r="F26" s="83">
        <v>1397</v>
      </c>
      <c r="G26" s="83">
        <v>1549</v>
      </c>
      <c r="H26" s="83">
        <v>1676</v>
      </c>
      <c r="I26" s="83">
        <v>1671</v>
      </c>
      <c r="J26" s="83">
        <v>1780</v>
      </c>
      <c r="K26" s="83">
        <v>1841</v>
      </c>
      <c r="L26" s="83">
        <v>1872</v>
      </c>
      <c r="M26" s="83">
        <v>1890</v>
      </c>
      <c r="N26" s="83">
        <v>2384</v>
      </c>
    </row>
    <row r="27" spans="2:14" x14ac:dyDescent="0.3">
      <c r="B27" t="s">
        <v>255</v>
      </c>
      <c r="C27" s="83">
        <v>376</v>
      </c>
      <c r="D27" s="83">
        <v>335</v>
      </c>
      <c r="E27" s="83">
        <v>352</v>
      </c>
      <c r="F27" s="83">
        <v>343</v>
      </c>
      <c r="G27" s="83">
        <v>398</v>
      </c>
      <c r="H27" s="83">
        <v>615</v>
      </c>
      <c r="I27" s="83">
        <v>681</v>
      </c>
      <c r="J27" s="83">
        <v>686</v>
      </c>
      <c r="K27" s="83">
        <v>749</v>
      </c>
      <c r="L27" s="83">
        <v>794</v>
      </c>
      <c r="M27" s="83">
        <v>830</v>
      </c>
      <c r="N27" s="83">
        <v>978</v>
      </c>
    </row>
    <row r="28" spans="2:14" x14ac:dyDescent="0.3">
      <c r="B28" t="s">
        <v>256</v>
      </c>
      <c r="C28" s="83">
        <v>13500</v>
      </c>
      <c r="D28" s="83">
        <v>6026</v>
      </c>
      <c r="E28" s="83">
        <v>4990</v>
      </c>
      <c r="F28" s="83">
        <v>5810</v>
      </c>
      <c r="G28" s="83">
        <v>4293</v>
      </c>
      <c r="H28" s="83">
        <v>5868</v>
      </c>
      <c r="I28" s="83">
        <v>6289</v>
      </c>
      <c r="J28" s="83">
        <v>6229</v>
      </c>
      <c r="K28" s="83">
        <v>7572</v>
      </c>
      <c r="L28" s="83">
        <v>7772</v>
      </c>
      <c r="M28" s="83">
        <v>7896</v>
      </c>
      <c r="N28" s="83">
        <v>10230</v>
      </c>
    </row>
    <row r="29" spans="2:14" x14ac:dyDescent="0.3">
      <c r="B29" t="s">
        <v>257</v>
      </c>
      <c r="C29" s="84">
        <v>7315</v>
      </c>
      <c r="D29" s="84">
        <v>5154</v>
      </c>
      <c r="E29" s="84">
        <v>2919</v>
      </c>
      <c r="F29" s="84">
        <v>3233</v>
      </c>
      <c r="G29" s="84">
        <v>3742</v>
      </c>
      <c r="H29" s="84">
        <v>4424</v>
      </c>
      <c r="I29" s="84">
        <v>5171</v>
      </c>
      <c r="J29" s="84">
        <v>10953</v>
      </c>
      <c r="K29" s="84">
        <v>20384</v>
      </c>
      <c r="L29" s="84">
        <v>20546</v>
      </c>
      <c r="M29" s="84">
        <v>20881</v>
      </c>
      <c r="N29" s="84">
        <v>22389</v>
      </c>
    </row>
    <row r="30" spans="2:14" x14ac:dyDescent="0.3">
      <c r="B30" s="8" t="s">
        <v>258</v>
      </c>
      <c r="C30" s="83">
        <v>164618</v>
      </c>
      <c r="D30" s="83">
        <v>114109</v>
      </c>
      <c r="E30" s="83">
        <v>131302</v>
      </c>
      <c r="F30" s="83">
        <v>145444</v>
      </c>
      <c r="G30" s="83">
        <v>177037</v>
      </c>
      <c r="H30" s="83">
        <v>201047</v>
      </c>
      <c r="I30" s="83">
        <v>217939</v>
      </c>
      <c r="J30" s="83">
        <v>221752</v>
      </c>
      <c r="K30" s="83">
        <v>245395</v>
      </c>
      <c r="L30" s="83">
        <v>259572</v>
      </c>
      <c r="M30" s="83">
        <v>273028</v>
      </c>
      <c r="N30" s="83">
        <v>322978</v>
      </c>
    </row>
    <row r="31" spans="2:14" x14ac:dyDescent="0.3">
      <c r="B31" s="8" t="s">
        <v>259</v>
      </c>
      <c r="C31" s="88">
        <v>96518</v>
      </c>
      <c r="D31" s="88">
        <v>41909</v>
      </c>
      <c r="E31" s="88">
        <v>39295</v>
      </c>
      <c r="F31" s="88">
        <v>49339</v>
      </c>
      <c r="G31" s="88">
        <v>52595</v>
      </c>
      <c r="H31" s="88">
        <v>66496</v>
      </c>
      <c r="I31" s="88">
        <v>82164</v>
      </c>
      <c r="J31" s="88">
        <v>88464</v>
      </c>
      <c r="K31" s="88">
        <v>98773</v>
      </c>
      <c r="L31" s="88">
        <v>110758</v>
      </c>
      <c r="M31" s="88">
        <v>122114</v>
      </c>
      <c r="N31" s="88">
        <v>143070</v>
      </c>
    </row>
    <row r="32" spans="2:14" x14ac:dyDescent="0.3">
      <c r="B32" s="74" t="s">
        <v>13</v>
      </c>
      <c r="C32" s="89">
        <f>C30-C31</f>
        <v>68100</v>
      </c>
      <c r="D32" s="89">
        <f t="shared" ref="D32:N32" si="0">D30-D31</f>
        <v>72200</v>
      </c>
      <c r="E32" s="89">
        <f t="shared" si="0"/>
        <v>92007</v>
      </c>
      <c r="F32" s="89">
        <f t="shared" si="0"/>
        <v>96105</v>
      </c>
      <c r="G32" s="89">
        <f t="shared" si="0"/>
        <v>124442</v>
      </c>
      <c r="H32" s="89">
        <f t="shared" si="0"/>
        <v>134551</v>
      </c>
      <c r="I32" s="89">
        <f t="shared" si="0"/>
        <v>135775</v>
      </c>
      <c r="J32" s="89">
        <f t="shared" si="0"/>
        <v>133288</v>
      </c>
      <c r="K32" s="89">
        <f t="shared" si="0"/>
        <v>146622</v>
      </c>
      <c r="L32" s="89">
        <f t="shared" si="0"/>
        <v>148814</v>
      </c>
      <c r="M32" s="89">
        <f t="shared" si="0"/>
        <v>150914</v>
      </c>
      <c r="N32" s="89">
        <f t="shared" si="0"/>
        <v>179908</v>
      </c>
    </row>
    <row r="33" spans="2:14" x14ac:dyDescent="0.3">
      <c r="B33" s="8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2:14" x14ac:dyDescent="0.3">
      <c r="B34" s="8" t="s">
        <v>260</v>
      </c>
      <c r="C34" s="83">
        <v>28678</v>
      </c>
      <c r="D34" s="83">
        <v>35996</v>
      </c>
      <c r="E34" s="83">
        <v>15784</v>
      </c>
      <c r="F34" s="83">
        <v>16614</v>
      </c>
      <c r="G34" s="83">
        <v>18641</v>
      </c>
      <c r="H34" s="83">
        <v>19497</v>
      </c>
      <c r="I34" s="83">
        <v>19007</v>
      </c>
      <c r="J34" s="83">
        <v>22046</v>
      </c>
      <c r="K34" s="83">
        <v>31213</v>
      </c>
      <c r="L34" s="83">
        <v>34356</v>
      </c>
      <c r="M34" s="83">
        <v>41622</v>
      </c>
      <c r="N34" s="83">
        <v>28497</v>
      </c>
    </row>
    <row r="35" spans="2:14" x14ac:dyDescent="0.3">
      <c r="B35" s="8" t="s">
        <v>15</v>
      </c>
      <c r="C35" s="83">
        <v>3455</v>
      </c>
      <c r="D35" s="83">
        <v>10714</v>
      </c>
      <c r="E35" s="83">
        <v>12457</v>
      </c>
      <c r="F35" s="83">
        <v>17899</v>
      </c>
      <c r="G35" s="83">
        <v>5738</v>
      </c>
      <c r="H35" s="83">
        <v>6285</v>
      </c>
      <c r="I35" s="83">
        <v>10682</v>
      </c>
      <c r="J35" s="83">
        <v>13140</v>
      </c>
      <c r="K35" s="83">
        <v>8410</v>
      </c>
      <c r="L35" s="83">
        <v>6258</v>
      </c>
      <c r="M35" s="83">
        <v>6194</v>
      </c>
      <c r="N35" s="83">
        <v>7089</v>
      </c>
    </row>
    <row r="36" spans="2:14" x14ac:dyDescent="0.3">
      <c r="B36" s="8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2:14" x14ac:dyDescent="0.3">
      <c r="B37" s="8" t="s">
        <v>261</v>
      </c>
      <c r="C37" s="83">
        <v>58876</v>
      </c>
      <c r="D37" s="83">
        <v>57974</v>
      </c>
      <c r="E37" s="83">
        <v>52200</v>
      </c>
      <c r="F37" s="83">
        <v>78103</v>
      </c>
      <c r="G37" s="83">
        <v>83952</v>
      </c>
      <c r="H37" s="83">
        <v>88816</v>
      </c>
      <c r="I37" s="83">
        <v>78445</v>
      </c>
      <c r="J37" s="83">
        <v>113948</v>
      </c>
      <c r="K37" s="83">
        <v>99151</v>
      </c>
      <c r="L37" s="83">
        <v>79885</v>
      </c>
      <c r="M37" s="83">
        <v>76728</v>
      </c>
      <c r="N37" s="83">
        <v>81021</v>
      </c>
    </row>
    <row r="38" spans="2:14" x14ac:dyDescent="0.3">
      <c r="B38" t="s">
        <v>262</v>
      </c>
      <c r="C38" s="83">
        <v>25150</v>
      </c>
      <c r="D38" s="83">
        <v>20013</v>
      </c>
      <c r="E38" s="83">
        <v>24804</v>
      </c>
      <c r="F38" s="83">
        <v>28331</v>
      </c>
      <c r="G38" s="83">
        <v>31656</v>
      </c>
      <c r="H38" s="83">
        <v>31069</v>
      </c>
      <c r="I38" s="83">
        <v>33276</v>
      </c>
      <c r="J38" s="83">
        <v>48824</v>
      </c>
      <c r="K38" s="83">
        <v>54415</v>
      </c>
      <c r="L38" s="83">
        <v>49158</v>
      </c>
      <c r="M38" s="83">
        <v>44590</v>
      </c>
      <c r="N38" s="83">
        <v>47249</v>
      </c>
    </row>
    <row r="39" spans="2:14" x14ac:dyDescent="0.3">
      <c r="B39" t="s">
        <v>271</v>
      </c>
      <c r="C39" s="84">
        <v>13310</v>
      </c>
      <c r="D39" s="84">
        <v>12066</v>
      </c>
      <c r="E39" s="84">
        <v>11587</v>
      </c>
      <c r="F39" s="84">
        <v>12416</v>
      </c>
      <c r="G39" s="84">
        <v>11811</v>
      </c>
      <c r="H39" s="84">
        <v>7885</v>
      </c>
      <c r="I39" s="84">
        <v>9540</v>
      </c>
      <c r="J39" s="84">
        <v>12246</v>
      </c>
      <c r="K39" s="84">
        <v>8257</v>
      </c>
      <c r="L39" s="84">
        <v>6264</v>
      </c>
      <c r="M39" s="84">
        <v>5260</v>
      </c>
      <c r="N39" s="84">
        <v>4917</v>
      </c>
    </row>
    <row r="40" spans="2:14" x14ac:dyDescent="0.3">
      <c r="B40" t="s">
        <v>263</v>
      </c>
      <c r="C40" s="83">
        <v>443</v>
      </c>
      <c r="D40" s="83">
        <v>0</v>
      </c>
      <c r="E40" s="83">
        <v>0</v>
      </c>
      <c r="F40" s="83">
        <v>0</v>
      </c>
      <c r="G40" s="83">
        <v>0</v>
      </c>
      <c r="H40" s="83">
        <v>0</v>
      </c>
      <c r="I40" s="83">
        <v>620</v>
      </c>
      <c r="J40" s="83">
        <v>694</v>
      </c>
      <c r="K40" s="83">
        <v>1051</v>
      </c>
      <c r="L40" s="83">
        <v>608</v>
      </c>
      <c r="M40" s="83">
        <v>477</v>
      </c>
      <c r="N40" s="83">
        <v>679</v>
      </c>
    </row>
    <row r="41" spans="2:14" x14ac:dyDescent="0.3">
      <c r="B41" t="s">
        <v>264</v>
      </c>
      <c r="C41" s="83">
        <v>13162</v>
      </c>
      <c r="D41" s="83">
        <v>12386</v>
      </c>
      <c r="E41" s="83">
        <v>11814</v>
      </c>
      <c r="F41" s="83">
        <v>12666</v>
      </c>
      <c r="G41" s="83">
        <v>12204</v>
      </c>
      <c r="H41" s="83">
        <v>8194</v>
      </c>
      <c r="I41" s="83">
        <v>9279</v>
      </c>
      <c r="J41" s="83">
        <v>11817</v>
      </c>
      <c r="K41" s="83">
        <v>7961</v>
      </c>
      <c r="L41" s="83">
        <v>5990</v>
      </c>
      <c r="M41" s="83">
        <v>5066</v>
      </c>
      <c r="N41" s="83">
        <v>4584</v>
      </c>
    </row>
    <row r="42" spans="2:14" x14ac:dyDescent="0.3">
      <c r="B42" t="s">
        <v>265</v>
      </c>
      <c r="C42" s="83">
        <v>-295</v>
      </c>
      <c r="D42" s="83">
        <v>-320</v>
      </c>
      <c r="E42" s="83">
        <v>-227</v>
      </c>
      <c r="F42" s="83">
        <v>-250</v>
      </c>
      <c r="G42" s="83">
        <v>-393</v>
      </c>
      <c r="H42" s="83">
        <v>-309</v>
      </c>
      <c r="I42" s="83">
        <v>-360</v>
      </c>
      <c r="J42" s="83">
        <v>-265</v>
      </c>
      <c r="K42" s="83">
        <v>-755</v>
      </c>
      <c r="L42" s="83">
        <v>-335</v>
      </c>
      <c r="M42" s="83">
        <v>-283</v>
      </c>
      <c r="N42" s="83">
        <v>-347</v>
      </c>
    </row>
    <row r="43" spans="2:14" x14ac:dyDescent="0.3">
      <c r="B43" t="s">
        <v>266</v>
      </c>
      <c r="C43" s="83">
        <v>8750</v>
      </c>
      <c r="D43" s="83">
        <v>6186</v>
      </c>
      <c r="E43" s="83">
        <v>4921</v>
      </c>
      <c r="F43" s="83">
        <v>7938</v>
      </c>
      <c r="G43" s="83">
        <v>3341</v>
      </c>
      <c r="H43" s="83">
        <v>8055</v>
      </c>
      <c r="I43" s="83">
        <v>5782</v>
      </c>
      <c r="J43" s="83">
        <v>15899</v>
      </c>
      <c r="K43" s="83">
        <v>13357</v>
      </c>
      <c r="L43" s="83">
        <v>8678</v>
      </c>
      <c r="M43" s="83">
        <v>11647</v>
      </c>
      <c r="N43" s="83">
        <v>10058</v>
      </c>
    </row>
    <row r="44" spans="2:14" x14ac:dyDescent="0.3">
      <c r="B44" t="s">
        <v>267</v>
      </c>
      <c r="C44" s="83">
        <v>-182</v>
      </c>
      <c r="D44" s="83">
        <v>107</v>
      </c>
      <c r="E44" s="83">
        <v>98</v>
      </c>
      <c r="F44" s="83">
        <v>219</v>
      </c>
      <c r="G44" s="83">
        <v>-56</v>
      </c>
      <c r="H44" s="83">
        <v>195</v>
      </c>
      <c r="I44" s="83">
        <v>-193</v>
      </c>
      <c r="J44" s="83">
        <v>-158</v>
      </c>
      <c r="K44" s="83">
        <v>-90</v>
      </c>
      <c r="L44" s="83">
        <v>-56</v>
      </c>
      <c r="M44" s="83">
        <v>49</v>
      </c>
      <c r="N44" s="83">
        <v>1167</v>
      </c>
    </row>
    <row r="45" spans="2:14" x14ac:dyDescent="0.3">
      <c r="B45" t="s">
        <v>268</v>
      </c>
      <c r="C45" s="87">
        <v>11848</v>
      </c>
      <c r="D45" s="87">
        <v>19602</v>
      </c>
      <c r="E45" s="87">
        <v>10790</v>
      </c>
      <c r="F45" s="87">
        <v>29200</v>
      </c>
      <c r="G45" s="87">
        <v>37200</v>
      </c>
      <c r="H45" s="87">
        <v>41613</v>
      </c>
      <c r="I45" s="87">
        <v>30039</v>
      </c>
      <c r="J45" s="87">
        <v>37137</v>
      </c>
      <c r="K45" s="87">
        <v>23211</v>
      </c>
      <c r="L45" s="87">
        <v>15842</v>
      </c>
      <c r="M45" s="87">
        <v>15182</v>
      </c>
      <c r="N45" s="87">
        <v>17630</v>
      </c>
    </row>
    <row r="46" spans="2:14" x14ac:dyDescent="0.3">
      <c r="B46" s="91" t="s">
        <v>84</v>
      </c>
      <c r="C46" s="90">
        <v>159109</v>
      </c>
      <c r="D46" s="86">
        <v>176884</v>
      </c>
      <c r="E46" s="86">
        <v>172447</v>
      </c>
      <c r="F46" s="86">
        <v>208722</v>
      </c>
      <c r="G46" s="86">
        <v>232773</v>
      </c>
      <c r="H46" s="86">
        <v>249149</v>
      </c>
      <c r="I46" s="86">
        <v>243909</v>
      </c>
      <c r="J46" s="86">
        <v>282422</v>
      </c>
      <c r="K46" s="86">
        <v>285396</v>
      </c>
      <c r="L46" s="86">
        <v>269312</v>
      </c>
      <c r="M46" s="86">
        <v>275459</v>
      </c>
      <c r="N46" s="86">
        <v>296515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46DB-B453-4C52-8866-B0BC46D9FBDA}">
  <dimension ref="A4:H71"/>
  <sheetViews>
    <sheetView showGridLines="0" topLeftCell="A38" zoomScale="76" workbookViewId="0">
      <selection activeCell="D57" sqref="D57"/>
    </sheetView>
  </sheetViews>
  <sheetFormatPr defaultRowHeight="14.4" x14ac:dyDescent="0.3"/>
  <cols>
    <col min="1" max="1" width="2.33203125" customWidth="1"/>
    <col min="2" max="2" width="25.88671875" customWidth="1"/>
    <col min="4" max="4" width="12.5546875" customWidth="1"/>
    <col min="5" max="7" width="9.6640625" bestFit="1" customWidth="1"/>
  </cols>
  <sheetData>
    <row r="4" spans="1:8" x14ac:dyDescent="0.3">
      <c r="B4" s="39" t="s">
        <v>273</v>
      </c>
      <c r="C4" s="40">
        <f>'Raw FS'!J4</f>
        <v>44621</v>
      </c>
      <c r="D4" s="40">
        <f>'Raw FS'!K4</f>
        <v>44986</v>
      </c>
      <c r="E4" s="40">
        <f>'Raw FS'!L4</f>
        <v>45352</v>
      </c>
      <c r="F4" s="40">
        <f>'Raw FS'!M4</f>
        <v>45717</v>
      </c>
      <c r="G4" s="40">
        <f>'Raw FS'!N4</f>
        <v>46082</v>
      </c>
      <c r="H4" s="21"/>
    </row>
    <row r="6" spans="1:8" x14ac:dyDescent="0.3">
      <c r="B6" s="8" t="s">
        <v>274</v>
      </c>
    </row>
    <row r="7" spans="1:8" x14ac:dyDescent="0.3">
      <c r="B7" s="92" t="str">
        <f>'Raw FS'!B38</f>
        <v>Inventories</v>
      </c>
      <c r="C7" s="98">
        <f>IFERROR('Raw FS'!J38,0)</f>
        <v>48824</v>
      </c>
      <c r="D7" s="98">
        <f>IFERROR('Raw FS'!K38,0)</f>
        <v>54415</v>
      </c>
      <c r="E7" s="98">
        <f>IFERROR('Raw FS'!L38,0)</f>
        <v>49158</v>
      </c>
      <c r="F7" s="98">
        <f>IFERROR('Raw FS'!M38,0)</f>
        <v>44590</v>
      </c>
      <c r="G7" s="98">
        <f>IFERROR('Raw FS'!N38,0)</f>
        <v>47249</v>
      </c>
    </row>
    <row r="8" spans="1:8" x14ac:dyDescent="0.3">
      <c r="B8" s="92" t="str">
        <f>'Raw FS'!B39</f>
        <v xml:space="preserve">Trade receivables </v>
      </c>
      <c r="C8" s="98">
        <f>IFERROR('Raw FS'!J39,0)</f>
        <v>12246</v>
      </c>
      <c r="D8" s="98">
        <f>IFERROR('Raw FS'!K39,0)</f>
        <v>8257</v>
      </c>
      <c r="E8" s="98">
        <f>IFERROR('Raw FS'!L39,0)</f>
        <v>6264</v>
      </c>
      <c r="F8" s="98">
        <f>IFERROR('Raw FS'!M39,0)</f>
        <v>5260</v>
      </c>
      <c r="G8" s="98">
        <f>IFERROR('Raw FS'!N39,0)</f>
        <v>4917</v>
      </c>
    </row>
    <row r="9" spans="1:8" x14ac:dyDescent="0.3">
      <c r="B9" s="92" t="str">
        <f>'Raw FS'!B40</f>
        <v>Receivables over 6m</v>
      </c>
      <c r="C9" s="98">
        <f>IFERROR('Raw FS'!J40,0)</f>
        <v>694</v>
      </c>
      <c r="D9" s="98">
        <f>IFERROR('Raw FS'!K40,0)</f>
        <v>1051</v>
      </c>
      <c r="E9" s="98">
        <f>IFERROR('Raw FS'!L40,0)</f>
        <v>608</v>
      </c>
      <c r="F9" s="98">
        <f>IFERROR('Raw FS'!M40,0)</f>
        <v>477</v>
      </c>
      <c r="G9" s="98">
        <f>IFERROR('Raw FS'!N40,0)</f>
        <v>679</v>
      </c>
    </row>
    <row r="10" spans="1:8" x14ac:dyDescent="0.3">
      <c r="B10" s="92" t="str">
        <f>'Raw FS'!B41</f>
        <v>Receivables under 6m</v>
      </c>
      <c r="C10" s="98">
        <f>IFERROR('Raw FS'!J41,0)</f>
        <v>11817</v>
      </c>
      <c r="D10" s="98">
        <f>IFERROR('Raw FS'!K41,0)</f>
        <v>7961</v>
      </c>
      <c r="E10" s="98">
        <f>IFERROR('Raw FS'!L41,0)</f>
        <v>5990</v>
      </c>
      <c r="F10" s="98">
        <f>IFERROR('Raw FS'!M41,0)</f>
        <v>5066</v>
      </c>
      <c r="G10" s="98">
        <f>IFERROR('Raw FS'!N41,0)</f>
        <v>4584</v>
      </c>
    </row>
    <row r="11" spans="1:8" x14ac:dyDescent="0.3">
      <c r="B11" s="92" t="str">
        <f>'Raw FS'!B44</f>
        <v>Loans n Advances</v>
      </c>
      <c r="C11" s="98">
        <f>IFERROR('Raw FS'!J44,0)</f>
        <v>-158</v>
      </c>
      <c r="D11" s="98">
        <f>IFERROR('Raw FS'!K44,0)</f>
        <v>-90</v>
      </c>
      <c r="E11" s="98">
        <f>IFERROR('Raw FS'!L44,0)</f>
        <v>-56</v>
      </c>
      <c r="F11" s="98">
        <f>IFERROR('Raw FS'!M44,0)</f>
        <v>49</v>
      </c>
      <c r="G11" s="98">
        <f>IFERROR('Raw FS'!N44,0)</f>
        <v>1167</v>
      </c>
    </row>
    <row r="12" spans="1:8" x14ac:dyDescent="0.3">
      <c r="B12" t="str">
        <f>'Raw FS'!B45</f>
        <v>Other asset items</v>
      </c>
      <c r="C12" s="98">
        <f>IFERROR('Raw FS'!J45,0)</f>
        <v>37137</v>
      </c>
      <c r="D12" s="98">
        <f>IFERROR('Raw FS'!K45,0)</f>
        <v>23211</v>
      </c>
      <c r="E12" s="98">
        <f>IFERROR('Raw FS'!L45,0)</f>
        <v>15842</v>
      </c>
      <c r="F12" s="98">
        <f>IFERROR('Raw FS'!M45,0)</f>
        <v>15182</v>
      </c>
      <c r="G12" s="98">
        <f>IFERROR('Raw FS'!N45,0)</f>
        <v>17630</v>
      </c>
    </row>
    <row r="13" spans="1:8" x14ac:dyDescent="0.3">
      <c r="A13" s="8"/>
      <c r="B13" s="93" t="s">
        <v>83</v>
      </c>
      <c r="C13" s="100">
        <f>SUM(C7:C12)</f>
        <v>110560</v>
      </c>
      <c r="D13" s="100">
        <f>SUM(D7:D12)</f>
        <v>94805</v>
      </c>
      <c r="E13" s="100">
        <f>SUM(E7:E12)</f>
        <v>77806</v>
      </c>
      <c r="F13" s="100">
        <f>SUM(F7:F12)</f>
        <v>70624</v>
      </c>
      <c r="G13" s="100">
        <f>SUM(G7:G12)</f>
        <v>76226</v>
      </c>
    </row>
    <row r="16" spans="1:8" x14ac:dyDescent="0.3">
      <c r="B16" s="8" t="s">
        <v>275</v>
      </c>
    </row>
    <row r="17" spans="1:7" x14ac:dyDescent="0.3">
      <c r="B17" s="92" t="str">
        <f>'Raw FS'!B15</f>
        <v>Trade Payables</v>
      </c>
      <c r="C17" s="98">
        <f>'Raw FS'!J15</f>
        <v>36765</v>
      </c>
      <c r="D17" s="98">
        <f>'Raw FS'!K15</f>
        <v>37833</v>
      </c>
      <c r="E17" s="98">
        <f>'Raw FS'!L15</f>
        <v>30228</v>
      </c>
      <c r="F17" s="98">
        <f>'Raw FS'!M15</f>
        <v>29314</v>
      </c>
      <c r="G17" s="98">
        <f>'Raw FS'!N15</f>
        <v>34810</v>
      </c>
    </row>
    <row r="18" spans="1:7" x14ac:dyDescent="0.3">
      <c r="B18" s="92" t="str">
        <f>'Raw FS'!B16</f>
        <v>Advance from Customers</v>
      </c>
      <c r="C18" s="98">
        <f>'Raw FS'!J16</f>
        <v>3253</v>
      </c>
      <c r="D18" s="98">
        <f>'Raw FS'!K16</f>
        <v>3394</v>
      </c>
      <c r="E18" s="98">
        <f>'Raw FS'!L16</f>
        <v>2771</v>
      </c>
      <c r="F18" s="98">
        <f>'Raw FS'!M16</f>
        <v>1655</v>
      </c>
      <c r="G18" s="98">
        <f>'Raw FS'!N16</f>
        <v>2222</v>
      </c>
    </row>
    <row r="19" spans="1:7" x14ac:dyDescent="0.3">
      <c r="B19" t="str">
        <f>'Raw FS'!B17</f>
        <v>Other liability items</v>
      </c>
      <c r="C19" s="99">
        <f>'Raw FS'!J17</f>
        <v>49744</v>
      </c>
      <c r="D19" s="99">
        <f>'Raw FS'!K17</f>
        <v>54101</v>
      </c>
      <c r="E19" s="99">
        <f>'Raw FS'!L17</f>
        <v>56799</v>
      </c>
      <c r="F19" s="99">
        <f>'Raw FS'!M17</f>
        <v>58335</v>
      </c>
      <c r="G19" s="99">
        <f>'Raw FS'!N17</f>
        <v>63320</v>
      </c>
    </row>
    <row r="20" spans="1:7" x14ac:dyDescent="0.3">
      <c r="B20" s="93" t="s">
        <v>276</v>
      </c>
      <c r="C20" s="101">
        <f>SUM(C17:C19)</f>
        <v>89762</v>
      </c>
      <c r="D20" s="101">
        <f t="shared" ref="D20:G20" si="0">SUM(D17:D19)</f>
        <v>95328</v>
      </c>
      <c r="E20" s="101">
        <f t="shared" si="0"/>
        <v>89798</v>
      </c>
      <c r="F20" s="101">
        <f t="shared" si="0"/>
        <v>89304</v>
      </c>
      <c r="G20" s="101">
        <f t="shared" si="0"/>
        <v>100352</v>
      </c>
    </row>
    <row r="21" spans="1:7" x14ac:dyDescent="0.3">
      <c r="C21" s="99"/>
      <c r="D21" s="99"/>
      <c r="E21" s="99"/>
      <c r="F21" s="99"/>
      <c r="G21" s="99"/>
    </row>
    <row r="22" spans="1:7" x14ac:dyDescent="0.3">
      <c r="A22" t="s">
        <v>57</v>
      </c>
      <c r="B22" s="93" t="s">
        <v>277</v>
      </c>
      <c r="C22" s="100">
        <f>C13-C20</f>
        <v>20798</v>
      </c>
      <c r="D22" s="100">
        <f t="shared" ref="D22:G22" si="1">D13-D20</f>
        <v>-523</v>
      </c>
      <c r="E22" s="100">
        <f t="shared" si="1"/>
        <v>-11992</v>
      </c>
      <c r="F22" s="100">
        <f t="shared" si="1"/>
        <v>-18680</v>
      </c>
      <c r="G22" s="100">
        <f t="shared" si="1"/>
        <v>-24126</v>
      </c>
    </row>
    <row r="25" spans="1:7" x14ac:dyDescent="0.3">
      <c r="B25" s="8" t="s">
        <v>278</v>
      </c>
    </row>
    <row r="26" spans="1:7" x14ac:dyDescent="0.3">
      <c r="B26" s="92" t="str">
        <f>'Raw FS'!B21</f>
        <v>Land</v>
      </c>
      <c r="C26" s="98">
        <f>'Raw FS'!J21</f>
        <v>20770</v>
      </c>
      <c r="D26" s="98">
        <f>'Raw FS'!K21</f>
        <v>21701</v>
      </c>
      <c r="E26" s="98">
        <f>'Raw FS'!L21</f>
        <v>22067</v>
      </c>
      <c r="F26" s="98">
        <f>'Raw FS'!M21</f>
        <v>22299</v>
      </c>
      <c r="G26" s="98">
        <f>'Raw FS'!N21</f>
        <v>23659</v>
      </c>
    </row>
    <row r="27" spans="1:7" x14ac:dyDescent="0.3">
      <c r="B27" s="92" t="str">
        <f>'Raw FS'!B22</f>
        <v>Building</v>
      </c>
      <c r="C27" s="98">
        <f>'Raw FS'!J22</f>
        <v>27588</v>
      </c>
      <c r="D27" s="98">
        <f>'Raw FS'!K22</f>
        <v>28904</v>
      </c>
      <c r="E27" s="98">
        <f>'Raw FS'!L22</f>
        <v>30173</v>
      </c>
      <c r="F27" s="98">
        <f>'Raw FS'!M22</f>
        <v>31819</v>
      </c>
      <c r="G27" s="98">
        <f>'Raw FS'!N22</f>
        <v>36997</v>
      </c>
    </row>
    <row r="28" spans="1:7" x14ac:dyDescent="0.3">
      <c r="B28" s="92" t="str">
        <f>'Raw FS'!B23</f>
        <v>Plant Machinery</v>
      </c>
      <c r="C28" s="98">
        <f>'Raw FS'!J23</f>
        <v>152754</v>
      </c>
      <c r="D28" s="98">
        <f>'Raw FS'!K23</f>
        <v>163134</v>
      </c>
      <c r="E28" s="98">
        <f>'Raw FS'!L23</f>
        <v>175111</v>
      </c>
      <c r="F28" s="98">
        <f>'Raw FS'!M23</f>
        <v>186115</v>
      </c>
      <c r="G28" s="98">
        <f>'Raw FS'!N23</f>
        <v>224912</v>
      </c>
    </row>
    <row r="29" spans="1:7" x14ac:dyDescent="0.3">
      <c r="B29" s="92" t="str">
        <f>'Raw FS'!B24</f>
        <v>Equipments</v>
      </c>
      <c r="C29" s="98">
        <f>'Raw FS'!J24</f>
        <v>0</v>
      </c>
      <c r="D29" s="98">
        <f>'Raw FS'!K24</f>
        <v>0</v>
      </c>
      <c r="E29" s="98">
        <f>'Raw FS'!L24</f>
        <v>0</v>
      </c>
      <c r="F29" s="98">
        <f>'Raw FS'!M24</f>
        <v>0</v>
      </c>
      <c r="G29" s="98">
        <f>'Raw FS'!N24</f>
        <v>0</v>
      </c>
    </row>
    <row r="30" spans="1:7" x14ac:dyDescent="0.3">
      <c r="B30" s="92" t="str">
        <f>'Raw FS'!B25</f>
        <v>Furniture n fittings</v>
      </c>
      <c r="C30" s="98">
        <f>'Raw FS'!J25</f>
        <v>991</v>
      </c>
      <c r="D30" s="98">
        <f>'Raw FS'!K25</f>
        <v>1111</v>
      </c>
      <c r="E30" s="98">
        <f>'Raw FS'!L25</f>
        <v>1238</v>
      </c>
      <c r="F30" s="98">
        <f>'Raw FS'!M25</f>
        <v>1298</v>
      </c>
      <c r="G30" s="98">
        <f>'Raw FS'!N25</f>
        <v>1429</v>
      </c>
    </row>
    <row r="31" spans="1:7" x14ac:dyDescent="0.3">
      <c r="B31" s="92" t="str">
        <f>'Raw FS'!B26</f>
        <v>Railway sidings</v>
      </c>
      <c r="C31" s="98">
        <f>'Raw FS'!J26</f>
        <v>1780</v>
      </c>
      <c r="D31" s="98">
        <f>'Raw FS'!K26</f>
        <v>1841</v>
      </c>
      <c r="E31" s="98">
        <f>'Raw FS'!L26</f>
        <v>1872</v>
      </c>
      <c r="F31" s="98">
        <f>'Raw FS'!M26</f>
        <v>1890</v>
      </c>
      <c r="G31" s="98">
        <f>'Raw FS'!N26</f>
        <v>2384</v>
      </c>
    </row>
    <row r="32" spans="1:7" x14ac:dyDescent="0.3">
      <c r="B32" s="92" t="str">
        <f>'Raw FS'!B27</f>
        <v>Vehicles</v>
      </c>
      <c r="C32" s="98">
        <f>'Raw FS'!J27</f>
        <v>686</v>
      </c>
      <c r="D32" s="98">
        <f>'Raw FS'!K27</f>
        <v>749</v>
      </c>
      <c r="E32" s="98">
        <f>'Raw FS'!L27</f>
        <v>794</v>
      </c>
      <c r="F32" s="98">
        <f>'Raw FS'!M27</f>
        <v>830</v>
      </c>
      <c r="G32" s="98">
        <f>'Raw FS'!N27</f>
        <v>978</v>
      </c>
    </row>
    <row r="33" spans="1:8" x14ac:dyDescent="0.3">
      <c r="B33" s="92" t="str">
        <f>'Raw FS'!B28</f>
        <v>Intangible Assets</v>
      </c>
      <c r="C33" s="98">
        <f>'Raw FS'!J28</f>
        <v>6229</v>
      </c>
      <c r="D33" s="98">
        <f>'Raw FS'!K28</f>
        <v>7572</v>
      </c>
      <c r="E33" s="98">
        <f>'Raw FS'!L28</f>
        <v>7772</v>
      </c>
      <c r="F33" s="98">
        <f>'Raw FS'!M28</f>
        <v>7896</v>
      </c>
      <c r="G33" s="98">
        <f>'Raw FS'!N28</f>
        <v>10230</v>
      </c>
    </row>
    <row r="34" spans="1:8" x14ac:dyDescent="0.3">
      <c r="B34" s="92" t="str">
        <f>'Raw FS'!B29</f>
        <v>Other fixed assets</v>
      </c>
      <c r="C34" s="98">
        <f>'Raw FS'!J29</f>
        <v>10953</v>
      </c>
      <c r="D34" s="98">
        <f>'Raw FS'!K29</f>
        <v>20384</v>
      </c>
      <c r="E34" s="98">
        <f>'Raw FS'!L29</f>
        <v>20546</v>
      </c>
      <c r="F34" s="98">
        <f>'Raw FS'!M29</f>
        <v>20881</v>
      </c>
      <c r="G34" s="98">
        <f>'Raw FS'!N29</f>
        <v>22389</v>
      </c>
    </row>
    <row r="35" spans="1:8" x14ac:dyDescent="0.3">
      <c r="B35" s="94" t="str">
        <f>'Raw FS'!B30</f>
        <v>Gross Block</v>
      </c>
      <c r="C35" s="102">
        <f>SUM(C26:C34)</f>
        <v>221751</v>
      </c>
      <c r="D35" s="102">
        <f t="shared" ref="D35:G35" si="2">SUM(D26:D34)</f>
        <v>245396</v>
      </c>
      <c r="E35" s="102">
        <f t="shared" si="2"/>
        <v>259573</v>
      </c>
      <c r="F35" s="102">
        <f t="shared" si="2"/>
        <v>273028</v>
      </c>
      <c r="G35" s="102">
        <f t="shared" si="2"/>
        <v>322978</v>
      </c>
    </row>
    <row r="36" spans="1:8" x14ac:dyDescent="0.3">
      <c r="B36" s="96" t="str">
        <f>'Raw FS'!B31</f>
        <v>Accumulated Depreciation</v>
      </c>
      <c r="C36" s="103">
        <f>-'Raw FS'!J31</f>
        <v>-88464</v>
      </c>
      <c r="D36" s="103">
        <f>-'Raw FS'!K31</f>
        <v>-98773</v>
      </c>
      <c r="E36" s="103">
        <f>-'Raw FS'!L31</f>
        <v>-110758</v>
      </c>
      <c r="F36" s="103">
        <f>-'Raw FS'!M31</f>
        <v>-122114</v>
      </c>
      <c r="G36" s="103">
        <f>-'Raw FS'!N31</f>
        <v>-143070</v>
      </c>
    </row>
    <row r="37" spans="1:8" x14ac:dyDescent="0.3">
      <c r="A37" t="s">
        <v>57</v>
      </c>
      <c r="B37" s="95" t="s">
        <v>280</v>
      </c>
      <c r="C37" s="104">
        <f>SUM(C35:C36)</f>
        <v>133287</v>
      </c>
      <c r="D37" s="104">
        <f t="shared" ref="D37:F37" si="3">SUM(D35:D36)</f>
        <v>146623</v>
      </c>
      <c r="E37" s="104">
        <f t="shared" si="3"/>
        <v>148815</v>
      </c>
      <c r="F37" s="104">
        <f t="shared" si="3"/>
        <v>150914</v>
      </c>
      <c r="G37" s="104">
        <f>SUM(G35:G36)</f>
        <v>179908</v>
      </c>
    </row>
    <row r="40" spans="1:8" x14ac:dyDescent="0.3">
      <c r="A40" t="s">
        <v>57</v>
      </c>
      <c r="B40" s="8" t="s">
        <v>279</v>
      </c>
      <c r="C40" s="105">
        <f>C22+C37</f>
        <v>154085</v>
      </c>
      <c r="D40" s="105">
        <f>D22+D37</f>
        <v>146100</v>
      </c>
      <c r="E40" s="105">
        <f t="shared" ref="E40:G40" si="4">E22+E37</f>
        <v>136823</v>
      </c>
      <c r="F40" s="105">
        <f t="shared" si="4"/>
        <v>132234</v>
      </c>
      <c r="G40" s="105">
        <f t="shared" si="4"/>
        <v>155782</v>
      </c>
    </row>
    <row r="41" spans="1:8" x14ac:dyDescent="0.3">
      <c r="B41" t="s">
        <v>281</v>
      </c>
      <c r="C41" s="99">
        <f>'HistoricalFS '!H17-'HistoricalFS '!H23</f>
        <v>54389.080000000009</v>
      </c>
      <c r="D41" s="99">
        <f>'HistoricalFS '!I17-'HistoricalFS '!I23</f>
        <v>22964.960000000017</v>
      </c>
      <c r="E41" s="99">
        <f>'HistoricalFS '!J17-'HistoricalFS '!J23</f>
        <v>12365.760000000002</v>
      </c>
      <c r="F41" s="99">
        <f>'HistoricalFS '!K17-'HistoricalFS '!K23</f>
        <v>14877.11999999999</v>
      </c>
      <c r="G41" s="99">
        <f>'HistoricalFS '!L17-'HistoricalFS '!L23</f>
        <v>22397.93</v>
      </c>
    </row>
    <row r="43" spans="1:8" x14ac:dyDescent="0.3">
      <c r="A43" t="s">
        <v>57</v>
      </c>
      <c r="B43" s="91" t="s">
        <v>282</v>
      </c>
      <c r="C43" s="97">
        <f>C41/C40</f>
        <v>0.35298101697115236</v>
      </c>
      <c r="D43" s="97">
        <f t="shared" ref="D43:G43" si="5">D41/D40</f>
        <v>0.15718658453114318</v>
      </c>
      <c r="E43" s="97">
        <f t="shared" si="5"/>
        <v>9.0377787360312239E-2</v>
      </c>
      <c r="F43" s="97">
        <f t="shared" si="5"/>
        <v>0.11250601206951306</v>
      </c>
      <c r="G43" s="97">
        <f t="shared" si="5"/>
        <v>0.14377739405066053</v>
      </c>
    </row>
    <row r="44" spans="1:8" x14ac:dyDescent="0.3">
      <c r="B44" s="8"/>
      <c r="C44" s="80"/>
      <c r="D44" s="80"/>
      <c r="E44" s="80"/>
      <c r="F44" s="80"/>
      <c r="G44" s="80"/>
    </row>
    <row r="46" spans="1:8" x14ac:dyDescent="0.3">
      <c r="B46" s="39" t="s">
        <v>291</v>
      </c>
      <c r="C46" s="40">
        <f>C4</f>
        <v>44621</v>
      </c>
      <c r="D46" s="40">
        <f t="shared" ref="D46:G46" si="6">D4</f>
        <v>44986</v>
      </c>
      <c r="E46" s="40">
        <f t="shared" si="6"/>
        <v>45352</v>
      </c>
      <c r="F46" s="40">
        <f t="shared" si="6"/>
        <v>45717</v>
      </c>
      <c r="G46" s="40">
        <f t="shared" si="6"/>
        <v>46082</v>
      </c>
      <c r="H46" s="21"/>
    </row>
    <row r="48" spans="1:8" x14ac:dyDescent="0.3">
      <c r="B48" s="92" t="s">
        <v>283</v>
      </c>
      <c r="C48" s="98">
        <f>-SUM('Cash Flow Data'!J12:J13)</f>
        <v>9953</v>
      </c>
      <c r="D48" s="98">
        <f>-SUM('Cash Flow Data'!K12:K13)</f>
        <v>13814</v>
      </c>
      <c r="E48" s="98">
        <f>-SUM('Cash Flow Data'!L12:L13)</f>
        <v>17732</v>
      </c>
      <c r="F48" s="98">
        <f>-SUM('Cash Flow Data'!M12:M13)</f>
        <v>14407</v>
      </c>
      <c r="G48" s="98">
        <f>-SUM('Cash Flow Data'!N12:N13)</f>
        <v>13158</v>
      </c>
    </row>
    <row r="49" spans="2:7" x14ac:dyDescent="0.3">
      <c r="B49" s="92" t="s">
        <v>284</v>
      </c>
      <c r="C49" s="98"/>
      <c r="D49" s="98">
        <f>(D22-C22)</f>
        <v>-21321</v>
      </c>
      <c r="E49" s="98">
        <f>(E22-D22)</f>
        <v>-11469</v>
      </c>
      <c r="F49" s="98">
        <f>(F22-E22)</f>
        <v>-6688</v>
      </c>
      <c r="G49" s="98">
        <f>(G22-F22)</f>
        <v>-5446</v>
      </c>
    </row>
    <row r="50" spans="2:7" x14ac:dyDescent="0.3">
      <c r="B50" s="92"/>
      <c r="C50" s="98"/>
      <c r="D50" s="98"/>
      <c r="E50" s="98"/>
      <c r="F50" s="98"/>
      <c r="G50" s="98"/>
    </row>
    <row r="51" spans="2:7" x14ac:dyDescent="0.3">
      <c r="B51" s="92" t="s">
        <v>281</v>
      </c>
      <c r="C51" s="98">
        <f>C41</f>
        <v>54389.080000000009</v>
      </c>
      <c r="D51" s="98">
        <f>D41</f>
        <v>22964.960000000017</v>
      </c>
      <c r="E51" s="98">
        <f>E41</f>
        <v>12365.760000000002</v>
      </c>
      <c r="F51" s="98">
        <f>F41</f>
        <v>14877.11999999999</v>
      </c>
      <c r="G51" s="98">
        <f>G41</f>
        <v>22397.93</v>
      </c>
    </row>
    <row r="52" spans="2:7" x14ac:dyDescent="0.3">
      <c r="B52" s="63" t="s">
        <v>285</v>
      </c>
      <c r="C52" s="108">
        <v>0.25</v>
      </c>
      <c r="D52" s="108">
        <f>C52</f>
        <v>0.25</v>
      </c>
      <c r="E52" s="108">
        <f t="shared" ref="E52:G52" si="7">D52</f>
        <v>0.25</v>
      </c>
      <c r="F52" s="108">
        <f t="shared" si="7"/>
        <v>0.25</v>
      </c>
      <c r="G52" s="108">
        <f t="shared" si="7"/>
        <v>0.25</v>
      </c>
    </row>
    <row r="53" spans="2:7" x14ac:dyDescent="0.3">
      <c r="B53" s="91" t="s">
        <v>286</v>
      </c>
      <c r="C53" s="109">
        <f>C51*(1-C52)</f>
        <v>40791.810000000005</v>
      </c>
      <c r="D53" s="109">
        <f t="shared" ref="D53:G53" si="8">D51*(1-D52)</f>
        <v>17223.720000000012</v>
      </c>
      <c r="E53" s="109">
        <f t="shared" si="8"/>
        <v>9274.3200000000015</v>
      </c>
      <c r="F53" s="109">
        <f t="shared" si="8"/>
        <v>11157.839999999993</v>
      </c>
      <c r="G53" s="109">
        <f t="shared" si="8"/>
        <v>16798.447500000002</v>
      </c>
    </row>
    <row r="55" spans="2:7" x14ac:dyDescent="0.3">
      <c r="B55" s="92" t="s">
        <v>287</v>
      </c>
      <c r="C55" s="106"/>
      <c r="D55" s="106">
        <f>SUM(D48:D49)</f>
        <v>-7507</v>
      </c>
      <c r="E55" s="106">
        <f>SUM(E48:E49)</f>
        <v>6263</v>
      </c>
      <c r="F55" s="106">
        <f>SUM(F48:F49)</f>
        <v>7719</v>
      </c>
      <c r="G55" s="106">
        <f>SUM(G48:G49)</f>
        <v>7712</v>
      </c>
    </row>
    <row r="57" spans="2:7" x14ac:dyDescent="0.3">
      <c r="B57" s="91" t="s">
        <v>288</v>
      </c>
      <c r="C57" s="91"/>
      <c r="D57" s="97">
        <f>D55/D53</f>
        <v>-0.43585241748007947</v>
      </c>
      <c r="E57" s="97">
        <f t="shared" ref="E57:G57" si="9">E55/E53</f>
        <v>0.67530557496398647</v>
      </c>
      <c r="F57" s="97">
        <f>F55/F53</f>
        <v>0.6918005635499348</v>
      </c>
      <c r="G57" s="97">
        <f t="shared" si="9"/>
        <v>0.45909004388649599</v>
      </c>
    </row>
    <row r="58" spans="2:7" x14ac:dyDescent="0.3">
      <c r="B58" s="8"/>
      <c r="C58" s="8"/>
      <c r="D58" s="79"/>
      <c r="E58" s="79"/>
      <c r="F58" s="79"/>
      <c r="G58" s="79"/>
    </row>
    <row r="59" spans="2:7" x14ac:dyDescent="0.3">
      <c r="F59" s="8" t="s">
        <v>189</v>
      </c>
      <c r="G59" s="27">
        <f>AVERAGE(D57:G57)</f>
        <v>0.34758594123008446</v>
      </c>
    </row>
    <row r="60" spans="2:7" x14ac:dyDescent="0.3">
      <c r="F60" s="8" t="s">
        <v>147</v>
      </c>
      <c r="G60" s="27">
        <f>MEDIAN(D57:G57)</f>
        <v>0.56719780942524123</v>
      </c>
    </row>
    <row r="63" spans="2:7" x14ac:dyDescent="0.3">
      <c r="B63" s="39" t="s">
        <v>289</v>
      </c>
      <c r="C63" s="40">
        <f>C4</f>
        <v>44621</v>
      </c>
      <c r="D63" s="40">
        <f>D4</f>
        <v>44986</v>
      </c>
      <c r="E63" s="40">
        <f>E4</f>
        <v>45352</v>
      </c>
      <c r="F63" s="40">
        <f>F4</f>
        <v>45717</v>
      </c>
      <c r="G63" s="40">
        <f>G4</f>
        <v>46082</v>
      </c>
    </row>
    <row r="65" spans="2:7" x14ac:dyDescent="0.3">
      <c r="B65" s="92" t="str">
        <f>B57</f>
        <v>Reinvestment Rate</v>
      </c>
      <c r="C65" s="92"/>
      <c r="D65" s="107">
        <f>D57</f>
        <v>-0.43585241748007947</v>
      </c>
      <c r="E65" s="107">
        <f t="shared" ref="E65:G65" si="10">E57</f>
        <v>0.67530557496398647</v>
      </c>
      <c r="F65" s="107">
        <f t="shared" si="10"/>
        <v>0.6918005635499348</v>
      </c>
      <c r="G65" s="107">
        <f t="shared" si="10"/>
        <v>0.45909004388649599</v>
      </c>
    </row>
    <row r="66" spans="2:7" x14ac:dyDescent="0.3">
      <c r="B66" s="92" t="str">
        <f>B43</f>
        <v>ROIC</v>
      </c>
      <c r="C66" s="92"/>
      <c r="D66" s="107">
        <f>D43</f>
        <v>0.15718658453114318</v>
      </c>
      <c r="E66" s="107">
        <f t="shared" ref="E66:G66" si="11">E43</f>
        <v>9.0377787360312239E-2</v>
      </c>
      <c r="F66" s="107">
        <f t="shared" si="11"/>
        <v>0.11250601206951306</v>
      </c>
      <c r="G66" s="107">
        <f t="shared" si="11"/>
        <v>0.14377739405066053</v>
      </c>
    </row>
    <row r="68" spans="2:7" x14ac:dyDescent="0.3">
      <c r="B68" s="91" t="s">
        <v>290</v>
      </c>
      <c r="C68" s="91"/>
      <c r="D68" s="110">
        <f>D65*D66</f>
        <v>-6.8510152863335616E-2</v>
      </c>
      <c r="E68" s="110">
        <f t="shared" ref="E68:G68" si="12">E65*E66</f>
        <v>6.1032623657328568E-2</v>
      </c>
      <c r="F68" s="110">
        <f t="shared" si="12"/>
        <v>7.7831722552444901E-2</v>
      </c>
      <c r="G68" s="110">
        <f t="shared" si="12"/>
        <v>6.6006770144603766E-2</v>
      </c>
    </row>
    <row r="70" spans="2:7" x14ac:dyDescent="0.3">
      <c r="F70" s="8" t="s">
        <v>189</v>
      </c>
      <c r="G70" s="27">
        <f>AVERAGE(D68:G68)</f>
        <v>3.4090240872760406E-2</v>
      </c>
    </row>
    <row r="71" spans="2:7" x14ac:dyDescent="0.3">
      <c r="F71" s="8" t="s">
        <v>147</v>
      </c>
      <c r="G71" s="27">
        <f>MEDIAN(D68:G68)</f>
        <v>6.3519696900966163E-2</v>
      </c>
    </row>
  </sheetData>
  <pageMargins left="0.7" right="0.7" top="0.75" bottom="0.75" header="0.3" footer="0.3"/>
  <pageSetup orientation="portrait" r:id="rId1"/>
  <ignoredErrors>
    <ignoredError sqref="C48:G48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A785-91DD-44EE-84D3-DB5CA008AA1E}">
  <dimension ref="B3:Q42"/>
  <sheetViews>
    <sheetView showGridLines="0" topLeftCell="A2" zoomScale="78" workbookViewId="0">
      <selection activeCell="F18" sqref="F18"/>
    </sheetView>
  </sheetViews>
  <sheetFormatPr defaultRowHeight="14.4" x14ac:dyDescent="0.3"/>
  <cols>
    <col min="1" max="1" width="2.33203125" customWidth="1"/>
    <col min="2" max="2" width="27.33203125" customWidth="1"/>
    <col min="3" max="3" width="11.5546875" bestFit="1" customWidth="1"/>
    <col min="4" max="8" width="11.33203125" customWidth="1"/>
    <col min="11" max="11" width="11.33203125" customWidth="1"/>
  </cols>
  <sheetData>
    <row r="3" spans="2:11" x14ac:dyDescent="0.3">
      <c r="B3" s="121" t="s">
        <v>299</v>
      </c>
      <c r="C3" s="122">
        <f>'Intrinsic Growth'!G4</f>
        <v>46082</v>
      </c>
      <c r="D3" s="123">
        <f>C3+365</f>
        <v>46447</v>
      </c>
      <c r="E3" s="123">
        <f>D3+366</f>
        <v>46813</v>
      </c>
      <c r="F3" s="123">
        <f t="shared" ref="F3:H3" si="0">E3+365</f>
        <v>47178</v>
      </c>
      <c r="G3" s="123">
        <f t="shared" si="0"/>
        <v>47543</v>
      </c>
      <c r="H3" s="123">
        <f t="shared" si="0"/>
        <v>47908</v>
      </c>
    </row>
    <row r="5" spans="2:11" x14ac:dyDescent="0.3">
      <c r="B5" s="113" t="s">
        <v>281</v>
      </c>
      <c r="C5" s="114">
        <f>'Data Sheet'!K37-'Data Sheet'!K26</f>
        <v>23043.800000000003</v>
      </c>
      <c r="D5" s="114">
        <f>C5*(1+$C$16)</f>
        <v>24507.535191446488</v>
      </c>
      <c r="E5" s="114">
        <f>D5*(1+$C$16)</f>
        <v>26064.24639859693</v>
      </c>
      <c r="F5" s="114">
        <f>E5*(1+$C$16)</f>
        <v>27719.839429787906</v>
      </c>
      <c r="G5" s="114">
        <f>F5*(1+$C$16)</f>
        <v>29480.595228511484</v>
      </c>
      <c r="H5" s="114">
        <f>G5*(1+$C$16)</f>
        <v>31353.193701886601</v>
      </c>
    </row>
    <row r="6" spans="2:11" x14ac:dyDescent="0.3">
      <c r="B6" s="113" t="s">
        <v>8</v>
      </c>
      <c r="C6" s="115">
        <v>0.25</v>
      </c>
      <c r="D6" s="116">
        <f>C6</f>
        <v>0.25</v>
      </c>
      <c r="E6" s="116">
        <f t="shared" ref="E6:H6" si="1">D6</f>
        <v>0.25</v>
      </c>
      <c r="F6" s="116">
        <f t="shared" si="1"/>
        <v>0.25</v>
      </c>
      <c r="G6" s="116">
        <f t="shared" si="1"/>
        <v>0.25</v>
      </c>
      <c r="H6" s="116">
        <f t="shared" si="1"/>
        <v>0.25</v>
      </c>
    </row>
    <row r="7" spans="2:11" x14ac:dyDescent="0.3">
      <c r="B7" s="113" t="s">
        <v>286</v>
      </c>
      <c r="C7" s="114">
        <f>C5*(1-C6)</f>
        <v>17282.850000000002</v>
      </c>
      <c r="D7" s="114">
        <f t="shared" ref="D7:H7" si="2">D5*(1-D6)</f>
        <v>18380.651393584867</v>
      </c>
      <c r="E7" s="114">
        <f t="shared" si="2"/>
        <v>19548.184798947696</v>
      </c>
      <c r="F7" s="114">
        <f t="shared" si="2"/>
        <v>20789.879572340928</v>
      </c>
      <c r="G7" s="114">
        <f t="shared" si="2"/>
        <v>22110.446421383611</v>
      </c>
      <c r="H7" s="114">
        <f t="shared" si="2"/>
        <v>23514.895276414951</v>
      </c>
    </row>
    <row r="8" spans="2:11" x14ac:dyDescent="0.3">
      <c r="B8" s="113" t="s">
        <v>292</v>
      </c>
      <c r="C8" s="117">
        <f>'Intrinsic Growth'!G60</f>
        <v>0.56719780942524123</v>
      </c>
      <c r="D8" s="117">
        <f>C8</f>
        <v>0.56719780942524123</v>
      </c>
      <c r="E8" s="117">
        <f t="shared" ref="E8:H8" si="3">D8</f>
        <v>0.56719780942524123</v>
      </c>
      <c r="F8" s="117">
        <f t="shared" si="3"/>
        <v>0.56719780942524123</v>
      </c>
      <c r="G8" s="117">
        <f t="shared" si="3"/>
        <v>0.56719780942524123</v>
      </c>
      <c r="H8" s="117">
        <f t="shared" si="3"/>
        <v>0.56719780942524123</v>
      </c>
    </row>
    <row r="9" spans="2:11" x14ac:dyDescent="0.3">
      <c r="B9" s="113" t="s">
        <v>293</v>
      </c>
      <c r="C9" s="114">
        <f>C7*(1-C8)</f>
        <v>7480.0553393749706</v>
      </c>
      <c r="D9" s="114">
        <f>D7*(1-D8)</f>
        <v>7955.1861873345233</v>
      </c>
      <c r="E9" s="114">
        <f t="shared" ref="E9:H9" si="4">E7*(1-E8)</f>
        <v>8460.4972027447639</v>
      </c>
      <c r="F9" s="114">
        <f t="shared" si="4"/>
        <v>8997.9054206945821</v>
      </c>
      <c r="G9" s="114">
        <f t="shared" si="4"/>
        <v>9569.449645760662</v>
      </c>
      <c r="H9" s="114">
        <f t="shared" si="4"/>
        <v>10177.298186768438</v>
      </c>
    </row>
    <row r="10" spans="2:11" x14ac:dyDescent="0.3">
      <c r="B10" s="113" t="s">
        <v>296</v>
      </c>
      <c r="C10" s="113"/>
      <c r="D10" s="113">
        <v>0.5</v>
      </c>
      <c r="E10" s="113">
        <f>D10+1</f>
        <v>1.5</v>
      </c>
      <c r="F10" s="113">
        <f t="shared" ref="F10:H10" si="5">E10+1</f>
        <v>2.5</v>
      </c>
      <c r="G10" s="113">
        <f t="shared" si="5"/>
        <v>3.5</v>
      </c>
      <c r="H10" s="113">
        <f t="shared" si="5"/>
        <v>4.5</v>
      </c>
    </row>
    <row r="11" spans="2:11" x14ac:dyDescent="0.3">
      <c r="B11" s="113" t="s">
        <v>297</v>
      </c>
      <c r="C11" s="113"/>
      <c r="D11" s="118">
        <f>1/(1+$C$18)^D10</f>
        <v>0.9488269331113155</v>
      </c>
      <c r="E11" s="118">
        <f t="shared" ref="E11:H11" si="6">1/(1+$C$18)^E10</f>
        <v>0.85420284162953297</v>
      </c>
      <c r="F11" s="118">
        <f t="shared" si="6"/>
        <v>0.76901536959466321</v>
      </c>
      <c r="G11" s="118">
        <f t="shared" si="6"/>
        <v>0.69232342700318394</v>
      </c>
      <c r="H11" s="118">
        <f t="shared" si="6"/>
        <v>0.62327977635878906</v>
      </c>
    </row>
    <row r="12" spans="2:11" ht="5.4" customHeight="1" x14ac:dyDescent="0.3">
      <c r="B12" s="113"/>
      <c r="C12" s="113"/>
      <c r="D12" s="113"/>
      <c r="E12" s="113"/>
      <c r="F12" s="155"/>
      <c r="G12" s="113"/>
      <c r="H12" s="113"/>
    </row>
    <row r="13" spans="2:11" ht="15" thickBot="1" x14ac:dyDescent="0.35">
      <c r="B13" s="119" t="s">
        <v>298</v>
      </c>
      <c r="C13" s="119"/>
      <c r="D13" s="120">
        <f>D9*D11</f>
        <v>7548.0949124581148</v>
      </c>
      <c r="E13" s="120">
        <f t="shared" ref="E13:H13" si="7">E9*E11</f>
        <v>7226.9807521832927</v>
      </c>
      <c r="F13" s="120">
        <f t="shared" si="7"/>
        <v>6919.5275626732673</v>
      </c>
      <c r="G13" s="120">
        <f t="shared" si="7"/>
        <v>6625.1541732874257</v>
      </c>
      <c r="H13" s="120">
        <f t="shared" si="7"/>
        <v>6343.3041377857407</v>
      </c>
      <c r="K13" s="75"/>
    </row>
    <row r="14" spans="2:11" x14ac:dyDescent="0.3">
      <c r="D14" s="75"/>
      <c r="E14" s="75"/>
      <c r="F14" s="75"/>
      <c r="G14" s="75"/>
      <c r="H14" s="75"/>
    </row>
    <row r="16" spans="2:11" x14ac:dyDescent="0.3">
      <c r="B16" s="128" t="s">
        <v>294</v>
      </c>
      <c r="C16" s="129">
        <f>'Intrinsic Growth'!G71</f>
        <v>6.3519696900966163E-2</v>
      </c>
    </row>
    <row r="17" spans="2:17" x14ac:dyDescent="0.3">
      <c r="B17" s="128" t="s">
        <v>295</v>
      </c>
      <c r="C17" s="130">
        <v>0.06</v>
      </c>
      <c r="F17" s="180" t="s">
        <v>352</v>
      </c>
      <c r="G17" s="180"/>
      <c r="H17" s="180"/>
      <c r="I17" s="180"/>
      <c r="J17" s="180"/>
      <c r="K17" s="180"/>
    </row>
    <row r="18" spans="2:17" x14ac:dyDescent="0.3">
      <c r="B18" s="128" t="s">
        <v>235</v>
      </c>
      <c r="C18" s="129">
        <f>WACC!I41</f>
        <v>0.11077473273358743</v>
      </c>
      <c r="F18" s="158">
        <f>C27</f>
        <v>213172.11337486407</v>
      </c>
      <c r="G18" s="153">
        <v>0.09</v>
      </c>
      <c r="H18" s="153">
        <v>0.1</v>
      </c>
      <c r="I18" s="154">
        <f>C18</f>
        <v>0.11077473273358743</v>
      </c>
      <c r="J18" s="153">
        <v>0.12</v>
      </c>
      <c r="K18" s="153">
        <v>0.13</v>
      </c>
    </row>
    <row r="19" spans="2:17" x14ac:dyDescent="0.3">
      <c r="F19" s="153">
        <v>0.04</v>
      </c>
      <c r="G19" s="156">
        <f t="dataTable" ref="G19:K22" dt2D="1" dtr="1" r1="C24" r2="C25"/>
        <v>216475.14165725445</v>
      </c>
      <c r="H19" s="58">
        <v>180395.95138104534</v>
      </c>
      <c r="I19" s="58">
        <v>152932.50380196932</v>
      </c>
      <c r="J19" s="58">
        <v>135296.96353578405</v>
      </c>
      <c r="K19" s="58">
        <v>120263.96758736357</v>
      </c>
    </row>
    <row r="20" spans="2:17" x14ac:dyDescent="0.3">
      <c r="F20" s="153">
        <v>0.05</v>
      </c>
      <c r="G20" s="157">
        <v>270593.92707156809</v>
      </c>
      <c r="H20">
        <v>216475.14165725443</v>
      </c>
      <c r="I20">
        <v>178096.33372325674</v>
      </c>
      <c r="J20">
        <v>154625.10118375317</v>
      </c>
      <c r="K20">
        <v>135296.96353578402</v>
      </c>
    </row>
    <row r="21" spans="2:17" x14ac:dyDescent="0.3">
      <c r="B21" s="121" t="s">
        <v>300</v>
      </c>
      <c r="C21" s="121"/>
      <c r="F21" s="153">
        <v>0.06</v>
      </c>
      <c r="G21" s="157">
        <v>360791.90276209073</v>
      </c>
      <c r="H21">
        <v>270593.92707156797</v>
      </c>
      <c r="I21" s="8">
        <v>213172.11337486407</v>
      </c>
      <c r="J21">
        <v>180395.95138104536</v>
      </c>
      <c r="K21">
        <v>154625.10118375314</v>
      </c>
    </row>
    <row r="22" spans="2:17" x14ac:dyDescent="0.3">
      <c r="F22" s="153">
        <v>7.0000000000000007E-2</v>
      </c>
      <c r="G22" s="157">
        <v>541187.8541431363</v>
      </c>
      <c r="H22">
        <v>360791.90276209073</v>
      </c>
      <c r="I22">
        <v>265452.55743508169</v>
      </c>
      <c r="J22">
        <v>216475.14165725448</v>
      </c>
      <c r="K22">
        <v>180395.95138104536</v>
      </c>
    </row>
    <row r="23" spans="2:17" x14ac:dyDescent="0.3">
      <c r="B23" s="113" t="s">
        <v>301</v>
      </c>
      <c r="C23" s="114">
        <f>H9*(1+C16)</f>
        <v>10823.757082862721</v>
      </c>
      <c r="E23" s="75"/>
      <c r="F23" s="55"/>
      <c r="G23" s="182"/>
      <c r="H23" s="182"/>
      <c r="I23" s="182"/>
      <c r="J23" s="182"/>
      <c r="K23" s="182"/>
      <c r="L23" s="182"/>
      <c r="M23" s="182"/>
      <c r="N23" s="182"/>
    </row>
    <row r="24" spans="2:17" x14ac:dyDescent="0.3">
      <c r="B24" s="113" t="s">
        <v>235</v>
      </c>
      <c r="C24" s="117">
        <f>C18</f>
        <v>0.11077473273358743</v>
      </c>
      <c r="F24" s="57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</row>
    <row r="25" spans="2:17" x14ac:dyDescent="0.3">
      <c r="B25" s="113" t="s">
        <v>302</v>
      </c>
      <c r="C25" s="116">
        <f>C17</f>
        <v>0.06</v>
      </c>
      <c r="E25" s="75"/>
      <c r="F25" s="55"/>
    </row>
    <row r="26" spans="2:17" ht="9" customHeight="1" x14ac:dyDescent="0.3">
      <c r="B26" s="113"/>
      <c r="C26" s="113"/>
      <c r="F26" s="27"/>
    </row>
    <row r="27" spans="2:17" ht="15" thickBot="1" x14ac:dyDescent="0.35">
      <c r="B27" s="119" t="s">
        <v>303</v>
      </c>
      <c r="C27" s="120">
        <f>C23/(C24-C25)</f>
        <v>213172.11337486407</v>
      </c>
      <c r="F27" s="55"/>
    </row>
    <row r="28" spans="2:17" x14ac:dyDescent="0.3">
      <c r="F28" s="27"/>
    </row>
    <row r="29" spans="2:17" x14ac:dyDescent="0.3">
      <c r="F29" s="55"/>
    </row>
    <row r="30" spans="2:17" x14ac:dyDescent="0.3">
      <c r="B30" s="121" t="s">
        <v>304</v>
      </c>
      <c r="C30" s="121"/>
      <c r="F30" s="27"/>
    </row>
    <row r="31" spans="2:17" x14ac:dyDescent="0.3">
      <c r="F31" s="55"/>
    </row>
    <row r="32" spans="2:17" x14ac:dyDescent="0.3">
      <c r="B32" s="113" t="s">
        <v>305</v>
      </c>
      <c r="C32" s="114">
        <f>SUM(D13:H13)</f>
        <v>34663.061538387847</v>
      </c>
      <c r="F32" s="27"/>
    </row>
    <row r="33" spans="2:6" x14ac:dyDescent="0.3">
      <c r="B33" s="113" t="s">
        <v>306</v>
      </c>
      <c r="C33" s="114">
        <f>C27*H11</f>
        <v>132865.86715021569</v>
      </c>
      <c r="F33" s="55"/>
    </row>
    <row r="34" spans="2:6" x14ac:dyDescent="0.3">
      <c r="B34" s="113" t="s">
        <v>307</v>
      </c>
      <c r="C34" s="114">
        <f>SUM(C32:C33)</f>
        <v>167528.92868860354</v>
      </c>
      <c r="F34" s="27"/>
    </row>
    <row r="35" spans="2:6" x14ac:dyDescent="0.3">
      <c r="B35" s="113"/>
      <c r="C35" s="114"/>
      <c r="F35" s="55"/>
    </row>
    <row r="36" spans="2:6" x14ac:dyDescent="0.3">
      <c r="B36" s="113" t="s">
        <v>308</v>
      </c>
      <c r="C36" s="114">
        <f>'Raw FS'!N43</f>
        <v>10058</v>
      </c>
      <c r="F36" s="27"/>
    </row>
    <row r="37" spans="2:6" x14ac:dyDescent="0.3">
      <c r="B37" s="113" t="s">
        <v>309</v>
      </c>
      <c r="C37" s="114">
        <f>SUM('Raw FS'!N8:N9)</f>
        <v>84957</v>
      </c>
    </row>
    <row r="38" spans="2:6" ht="15" customHeight="1" x14ac:dyDescent="0.3">
      <c r="B38" s="91" t="s">
        <v>310</v>
      </c>
      <c r="C38" s="124">
        <f>C34+C36-C37</f>
        <v>92629.928688603541</v>
      </c>
    </row>
    <row r="39" spans="2:6" x14ac:dyDescent="0.3">
      <c r="B39" s="113" t="s">
        <v>311</v>
      </c>
      <c r="C39" s="114">
        <f>'Data Sheet'!B6</f>
        <v>1248.352600849257</v>
      </c>
    </row>
    <row r="40" spans="2:6" ht="6" customHeight="1" x14ac:dyDescent="0.3">
      <c r="B40" s="113"/>
      <c r="C40" s="113"/>
    </row>
    <row r="41" spans="2:6" ht="15" thickBot="1" x14ac:dyDescent="0.35">
      <c r="B41" s="125" t="s">
        <v>312</v>
      </c>
      <c r="C41" s="126">
        <f>C38/C39</f>
        <v>74.201734850864412</v>
      </c>
    </row>
    <row r="42" spans="2:6" ht="15" thickTop="1" x14ac:dyDescent="0.3"/>
  </sheetData>
  <mergeCells count="2">
    <mergeCell ref="G23:N23"/>
    <mergeCell ref="F17:K17"/>
  </mergeCells>
  <pageMargins left="0.7" right="0.7" top="0.75" bottom="0.75" header="0.3" footer="0.3"/>
  <ignoredErrors>
    <ignoredError sqref="C37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5419-86FF-4F48-9D75-9151EF8F0FEA}">
  <dimension ref="B5:P31"/>
  <sheetViews>
    <sheetView showGridLines="0" topLeftCell="A2" workbookViewId="0">
      <selection activeCell="F4" sqref="F4"/>
    </sheetView>
  </sheetViews>
  <sheetFormatPr defaultRowHeight="14.4" x14ac:dyDescent="0.3"/>
  <cols>
    <col min="1" max="1" width="3.21875" customWidth="1"/>
    <col min="2" max="2" width="28.77734375" bestFit="1" customWidth="1"/>
    <col min="3" max="3" width="6.44140625" customWidth="1"/>
    <col min="4" max="4" width="8" customWidth="1"/>
    <col min="5" max="5" width="11.88671875" customWidth="1"/>
    <col min="8" max="8" width="9.77734375" customWidth="1"/>
    <col min="9" max="9" width="2.6640625" customWidth="1"/>
    <col min="12" max="12" width="10.5546875" customWidth="1"/>
    <col min="13" max="13" width="4.109375" customWidth="1"/>
    <col min="14" max="14" width="11.44140625" bestFit="1" customWidth="1"/>
    <col min="15" max="15" width="10.21875" bestFit="1" customWidth="1"/>
  </cols>
  <sheetData>
    <row r="5" spans="2:16" x14ac:dyDescent="0.3">
      <c r="B5" s="152" t="s">
        <v>350</v>
      </c>
    </row>
    <row r="6" spans="2:16" x14ac:dyDescent="0.3">
      <c r="B6" s="175" t="s">
        <v>351</v>
      </c>
    </row>
    <row r="7" spans="2:16" x14ac:dyDescent="0.3">
      <c r="B7" s="121"/>
      <c r="C7" s="121"/>
      <c r="D7" s="183" t="s">
        <v>322</v>
      </c>
      <c r="E7" s="183"/>
      <c r="F7" s="183"/>
      <c r="G7" s="183"/>
      <c r="H7" s="183"/>
      <c r="I7" s="132"/>
      <c r="J7" s="183" t="s">
        <v>324</v>
      </c>
      <c r="K7" s="183"/>
      <c r="L7" s="183"/>
      <c r="M7" s="132"/>
      <c r="N7" s="183" t="s">
        <v>323</v>
      </c>
      <c r="O7" s="183"/>
      <c r="P7" s="183"/>
    </row>
    <row r="8" spans="2:16" ht="28.8" x14ac:dyDescent="0.3">
      <c r="B8" s="127" t="s">
        <v>313</v>
      </c>
      <c r="C8" s="127" t="s">
        <v>314</v>
      </c>
      <c r="D8" s="133" t="s">
        <v>315</v>
      </c>
      <c r="E8" s="133" t="s">
        <v>316</v>
      </c>
      <c r="F8" s="133" t="s">
        <v>317</v>
      </c>
      <c r="G8" s="133" t="s">
        <v>318</v>
      </c>
      <c r="H8" s="133" t="s">
        <v>319</v>
      </c>
      <c r="I8" s="134"/>
      <c r="J8" s="127" t="s">
        <v>320</v>
      </c>
      <c r="K8" s="127" t="s">
        <v>65</v>
      </c>
      <c r="L8" s="127" t="s">
        <v>321</v>
      </c>
      <c r="M8" s="134"/>
      <c r="N8" s="127" t="s">
        <v>325</v>
      </c>
      <c r="O8" s="127" t="s">
        <v>326</v>
      </c>
      <c r="P8" s="127" t="s">
        <v>327</v>
      </c>
    </row>
    <row r="9" spans="2:16" x14ac:dyDescent="0.3">
      <c r="B9" s="135" t="str">
        <f>Data!C4</f>
        <v>Tata Steel</v>
      </c>
      <c r="C9" s="136"/>
      <c r="D9" s="136">
        <f>Data!D4</f>
        <v>184.15</v>
      </c>
      <c r="E9" s="136">
        <f>Data!E4</f>
        <v>1248.3499999999999</v>
      </c>
      <c r="F9" s="136">
        <f>E9*D9</f>
        <v>229883.6525</v>
      </c>
      <c r="G9" s="136">
        <f>Data!I4</f>
        <v>82324.149999999994</v>
      </c>
      <c r="H9" s="136">
        <f>Data!J4</f>
        <v>312207.80249999999</v>
      </c>
      <c r="I9" s="136"/>
      <c r="J9" s="136">
        <f>Data!L4</f>
        <v>239756.11</v>
      </c>
      <c r="K9" s="136">
        <f>Data!N4</f>
        <v>2573719.6688000001</v>
      </c>
      <c r="L9" s="136">
        <f>Data!O4</f>
        <v>11263.7</v>
      </c>
      <c r="M9" s="136"/>
      <c r="N9" s="137">
        <f>H9/J9</f>
        <v>1.3021891392048361</v>
      </c>
      <c r="O9" s="137">
        <f>H9/K9</f>
        <v>0.12130606385953729</v>
      </c>
      <c r="P9" s="137">
        <f>F9/L9</f>
        <v>20.409248515141559</v>
      </c>
    </row>
    <row r="10" spans="2:16" x14ac:dyDescent="0.3">
      <c r="B10" s="138" t="str">
        <f>Data!C5</f>
        <v>JSW Steel</v>
      </c>
      <c r="C10" s="139"/>
      <c r="D10" s="139">
        <f>Data!D5</f>
        <v>1297.3</v>
      </c>
      <c r="E10" s="139">
        <f>Data!E5</f>
        <v>244.55</v>
      </c>
      <c r="F10" s="139">
        <f t="shared" ref="F10:F13" si="0">E10*D10</f>
        <v>317254.71500000003</v>
      </c>
      <c r="G10" s="140">
        <f>Data!I5</f>
        <v>58321</v>
      </c>
      <c r="H10" s="139">
        <f>Data!J5</f>
        <v>375575.71500000003</v>
      </c>
      <c r="I10" s="139"/>
      <c r="J10" s="139">
        <f>Data!L5</f>
        <v>189687</v>
      </c>
      <c r="K10" s="139">
        <f>Data!N5</f>
        <v>4295536.8870000001</v>
      </c>
      <c r="L10" s="139">
        <f>Data!O5</f>
        <v>27995</v>
      </c>
      <c r="M10" s="139"/>
      <c r="N10" s="141">
        <f>H10/J10</f>
        <v>1.9799760394755572</v>
      </c>
      <c r="O10" s="141">
        <f t="shared" ref="O10:O13" si="1">H10/K10</f>
        <v>8.7433940129030496E-2</v>
      </c>
      <c r="P10" s="141">
        <f t="shared" ref="P10:P13" si="2">F10/L10</f>
        <v>11.332549205215217</v>
      </c>
    </row>
    <row r="11" spans="2:16" x14ac:dyDescent="0.3">
      <c r="B11" s="138" t="str">
        <f>Data!C6</f>
        <v>Jindal Steel</v>
      </c>
      <c r="C11" s="139"/>
      <c r="D11" s="139">
        <f>Data!D6</f>
        <v>1136.3</v>
      </c>
      <c r="E11" s="139">
        <f>Data!E6</f>
        <v>102.01</v>
      </c>
      <c r="F11" s="139">
        <f t="shared" si="0"/>
        <v>115913.963</v>
      </c>
      <c r="G11" s="140">
        <f>Data!I6</f>
        <v>18467.949999999997</v>
      </c>
      <c r="H11" s="139">
        <f>Data!J6</f>
        <v>134381.913</v>
      </c>
      <c r="I11" s="139"/>
      <c r="J11" s="139">
        <f>Data!L6</f>
        <v>56412.57</v>
      </c>
      <c r="K11" s="139">
        <f>Data!N6</f>
        <v>1884727.74</v>
      </c>
      <c r="L11" s="139">
        <f>Data!O6</f>
        <v>2708.7</v>
      </c>
      <c r="M11" s="139"/>
      <c r="N11" s="141">
        <f>H11/J11</f>
        <v>2.3821271216680961</v>
      </c>
      <c r="O11" s="141">
        <f t="shared" si="1"/>
        <v>7.1300437802226016E-2</v>
      </c>
      <c r="P11" s="141">
        <f t="shared" si="2"/>
        <v>42.793208181046261</v>
      </c>
    </row>
    <row r="12" spans="2:16" x14ac:dyDescent="0.3">
      <c r="B12" s="138" t="str">
        <f>Data!C7</f>
        <v>S A I L</v>
      </c>
      <c r="C12" s="139"/>
      <c r="D12" s="139">
        <f>Data!D7</f>
        <v>186.1</v>
      </c>
      <c r="E12" s="139">
        <f>Data!E7</f>
        <v>413.05</v>
      </c>
      <c r="F12" s="139">
        <f t="shared" si="0"/>
        <v>76868.604999999996</v>
      </c>
      <c r="G12" s="140">
        <f>Data!I7</f>
        <v>31195.200000000001</v>
      </c>
      <c r="H12" s="139">
        <f>Data!J7</f>
        <v>108063.80500000001</v>
      </c>
      <c r="I12" s="139"/>
      <c r="J12" s="139">
        <f>Data!L7</f>
        <v>111134.75</v>
      </c>
      <c r="K12" s="139">
        <f>Data!N7</f>
        <v>794272.45799999998</v>
      </c>
      <c r="L12" s="139">
        <f>Data!O7</f>
        <v>4272.2700000000004</v>
      </c>
      <c r="M12" s="139"/>
      <c r="N12" s="141">
        <f t="shared" ref="N12:N13" si="3">H12/J12</f>
        <v>0.9723673738412153</v>
      </c>
      <c r="O12" s="141">
        <f t="shared" si="1"/>
        <v>0.13605382373714386</v>
      </c>
      <c r="P12" s="141">
        <f t="shared" si="2"/>
        <v>17.992450149452161</v>
      </c>
    </row>
    <row r="13" spans="2:16" x14ac:dyDescent="0.3">
      <c r="B13" s="138" t="str">
        <f>Data!C8</f>
        <v>Jindal Stain.</v>
      </c>
      <c r="C13" s="139"/>
      <c r="D13" s="139">
        <f>Data!D8</f>
        <v>738.75</v>
      </c>
      <c r="E13" s="139">
        <f>Data!E8</f>
        <v>82.44</v>
      </c>
      <c r="F13" s="139">
        <f t="shared" si="0"/>
        <v>60902.549999999996</v>
      </c>
      <c r="G13" s="140">
        <f>Data!I8</f>
        <v>4526.2999999999993</v>
      </c>
      <c r="H13" s="139">
        <f>Data!J8</f>
        <v>65428.849999999991</v>
      </c>
      <c r="I13" s="139"/>
      <c r="J13" s="139">
        <f>Data!L8</f>
        <v>44026.06</v>
      </c>
      <c r="K13" s="139">
        <f>Data!N8</f>
        <v>707732.30480000004</v>
      </c>
      <c r="L13" s="139">
        <f>Data!O8</f>
        <v>3238.57</v>
      </c>
      <c r="M13" s="139"/>
      <c r="N13" s="141">
        <f t="shared" si="3"/>
        <v>1.4861391185129897</v>
      </c>
      <c r="O13" s="141">
        <f t="shared" si="1"/>
        <v>9.2448584805648659E-2</v>
      </c>
      <c r="P13" s="141">
        <f t="shared" si="2"/>
        <v>18.805383240133761</v>
      </c>
    </row>
    <row r="14" spans="2:16" ht="3.6" customHeight="1" x14ac:dyDescent="0.3">
      <c r="B14" s="4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</row>
    <row r="15" spans="2:16" x14ac:dyDescent="0.3">
      <c r="B15" s="135" t="s">
        <v>340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>
        <f>MAX(N9:N12)</f>
        <v>2.3821271216680961</v>
      </c>
      <c r="O15" s="137">
        <f>MAX(O9:O12)</f>
        <v>0.13605382373714386</v>
      </c>
      <c r="P15" s="137">
        <f>MAX(P9:P12)</f>
        <v>42.793208181046261</v>
      </c>
    </row>
    <row r="16" spans="2:16" x14ac:dyDescent="0.3">
      <c r="B16" s="135" t="s">
        <v>341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7">
        <f>QUARTILE(N9:N12,3)</f>
        <v>2.080513810023692</v>
      </c>
      <c r="O16" s="137">
        <f>QUARTILE(O9:O12,3)</f>
        <v>0.12499300382893894</v>
      </c>
      <c r="P16" s="137">
        <f>QUARTILE(P9:P12,3)</f>
        <v>26.005238431617734</v>
      </c>
    </row>
    <row r="17" spans="2:16" x14ac:dyDescent="0.3">
      <c r="B17" s="146" t="s">
        <v>189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8">
        <f>AVERAGE(N9:N13)</f>
        <v>1.6245597585405389</v>
      </c>
      <c r="O17" s="148">
        <f>AVERAGE(O9:O13)</f>
        <v>0.10170857006671725</v>
      </c>
      <c r="P17" s="148">
        <f>AVERAGE(P9:P13)</f>
        <v>22.266567858197792</v>
      </c>
    </row>
    <row r="18" spans="2:16" x14ac:dyDescent="0.3">
      <c r="B18" s="146" t="s">
        <v>147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50">
        <f>MEDIAN(N9:N13)</f>
        <v>1.4861391185129897</v>
      </c>
      <c r="O18" s="150">
        <f>MEDIAN(O9:O13)</f>
        <v>9.2448584805648659E-2</v>
      </c>
      <c r="P18" s="150">
        <f>MEDIAN(P9:P13)</f>
        <v>18.805383240133761</v>
      </c>
    </row>
    <row r="19" spans="2:16" x14ac:dyDescent="0.3">
      <c r="B19" s="135" t="s">
        <v>342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37">
        <f>QUARTILE(N9:N13,1)</f>
        <v>1.3021891392048361</v>
      </c>
      <c r="O19" s="137">
        <f>QUARTILE(O9:O13,1)</f>
        <v>8.7433940129030496E-2</v>
      </c>
      <c r="P19" s="137">
        <f>QUARTILE(P9:P13,1)</f>
        <v>17.992450149452161</v>
      </c>
    </row>
    <row r="20" spans="2:16" x14ac:dyDescent="0.3">
      <c r="B20" s="135" t="s">
        <v>343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4">
        <f>MIN(N9:N13)</f>
        <v>0.9723673738412153</v>
      </c>
      <c r="O20" s="144">
        <f>MIN(O9:O13)</f>
        <v>7.1300437802226016E-2</v>
      </c>
      <c r="P20" s="144">
        <f>MIN(P9:P13)</f>
        <v>11.332549205215217</v>
      </c>
    </row>
    <row r="23" spans="2:16" x14ac:dyDescent="0.3">
      <c r="B23" s="184" t="s">
        <v>344</v>
      </c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31" t="s">
        <v>325</v>
      </c>
      <c r="O23" s="131" t="s">
        <v>326</v>
      </c>
      <c r="P23" s="131" t="s">
        <v>327</v>
      </c>
    </row>
    <row r="24" spans="2:16" x14ac:dyDescent="0.3">
      <c r="B24" s="142" t="s">
        <v>345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>
        <f>N18*J9</f>
        <v>356310.93397350336</v>
      </c>
      <c r="O24" s="142">
        <f>O18*K9</f>
        <v>237936.74106702278</v>
      </c>
      <c r="P24" s="142">
        <f>P26+P25</f>
        <v>294142.34520189464</v>
      </c>
    </row>
    <row r="25" spans="2:16" x14ac:dyDescent="0.3">
      <c r="B25" s="142" t="s">
        <v>346</v>
      </c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>
        <f>G9</f>
        <v>82324.149999999994</v>
      </c>
      <c r="O25" s="142">
        <f>N25</f>
        <v>82324.149999999994</v>
      </c>
      <c r="P25" s="142">
        <f>O25</f>
        <v>82324.149999999994</v>
      </c>
    </row>
    <row r="26" spans="2:16" x14ac:dyDescent="0.3">
      <c r="B26" s="142" t="s">
        <v>347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>
        <f>N24-N25</f>
        <v>273986.78397350339</v>
      </c>
      <c r="O26" s="142">
        <f t="shared" ref="O26" si="4">O24-O25</f>
        <v>155612.59106702279</v>
      </c>
      <c r="P26" s="142">
        <f>P18*L9</f>
        <v>211818.19520189465</v>
      </c>
    </row>
    <row r="27" spans="2:16" x14ac:dyDescent="0.3">
      <c r="B27" s="142" t="str">
        <f>E8</f>
        <v>Share Outstanding</v>
      </c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>
        <f>$E$9</f>
        <v>1248.3499999999999</v>
      </c>
      <c r="O27" s="142">
        <f t="shared" ref="O27:P27" si="5">$E$9</f>
        <v>1248.3499999999999</v>
      </c>
      <c r="P27" s="142">
        <f t="shared" si="5"/>
        <v>1248.3499999999999</v>
      </c>
    </row>
    <row r="28" spans="2:16" ht="3.6" customHeight="1" x14ac:dyDescent="0.3"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 spans="2:16" ht="15" thickBot="1" x14ac:dyDescent="0.35">
      <c r="B29" s="145" t="s">
        <v>349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>
        <f>N26/N27</f>
        <v>219.47913964313167</v>
      </c>
      <c r="O29" s="145">
        <f>O26/O27</f>
        <v>124.65461694798958</v>
      </c>
      <c r="P29" s="145">
        <f>P26/P27</f>
        <v>169.67853182352277</v>
      </c>
    </row>
    <row r="31" spans="2:16" x14ac:dyDescent="0.3">
      <c r="N31" t="str">
        <f>IF(N29&gt;$D$9,"Undervalued","Overvalued")</f>
        <v>Undervalued</v>
      </c>
      <c r="O31" t="str">
        <f t="shared" ref="O31:P31" si="6">IF(O29&gt;$D$9,"Undervalued","Overvalued")</f>
        <v>Overvalued</v>
      </c>
      <c r="P31" t="str">
        <f t="shared" si="6"/>
        <v>Overvalued</v>
      </c>
    </row>
  </sheetData>
  <mergeCells count="4">
    <mergeCell ref="D7:H7"/>
    <mergeCell ref="J7:L7"/>
    <mergeCell ref="N7:P7"/>
    <mergeCell ref="B23:M2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1677-A819-4565-999B-96F435DE7978}">
  <dimension ref="B3:O8"/>
  <sheetViews>
    <sheetView workbookViewId="0">
      <selection activeCell="H18" sqref="H18"/>
    </sheetView>
  </sheetViews>
  <sheetFormatPr defaultRowHeight="14.4" x14ac:dyDescent="0.3"/>
  <cols>
    <col min="2" max="2" width="5.44140625" bestFit="1" customWidth="1"/>
    <col min="3" max="3" width="11.44140625" bestFit="1" customWidth="1"/>
    <col min="4" max="4" width="7.6640625" bestFit="1" customWidth="1"/>
    <col min="5" max="5" width="15.6640625" bestFit="1" customWidth="1"/>
    <col min="6" max="6" width="15.6640625" customWidth="1"/>
    <col min="7" max="7" width="10.109375" bestFit="1" customWidth="1"/>
    <col min="8" max="8" width="13.6640625" bestFit="1" customWidth="1"/>
    <col min="9" max="10" width="13.6640625" customWidth="1"/>
    <col min="11" max="11" width="10" bestFit="1" customWidth="1"/>
    <col min="12" max="12" width="10.33203125" bestFit="1" customWidth="1"/>
    <col min="13" max="13" width="10.77734375" bestFit="1" customWidth="1"/>
  </cols>
  <sheetData>
    <row r="3" spans="2:15" x14ac:dyDescent="0.3">
      <c r="B3" s="8" t="s">
        <v>328</v>
      </c>
      <c r="C3" s="8" t="s">
        <v>313</v>
      </c>
      <c r="D3" s="8" t="s">
        <v>333</v>
      </c>
      <c r="E3" s="8" t="s">
        <v>334</v>
      </c>
      <c r="F3" s="8"/>
      <c r="G3" s="8" t="s">
        <v>335</v>
      </c>
      <c r="H3" s="8" t="s">
        <v>336</v>
      </c>
      <c r="I3" s="8" t="s">
        <v>348</v>
      </c>
      <c r="J3" s="8" t="s">
        <v>339</v>
      </c>
      <c r="K3" s="8" t="s">
        <v>337</v>
      </c>
      <c r="L3" s="8" t="s">
        <v>338</v>
      </c>
      <c r="M3" s="8" t="s">
        <v>329</v>
      </c>
      <c r="N3" s="8" t="s">
        <v>65</v>
      </c>
      <c r="O3" s="8" t="s">
        <v>73</v>
      </c>
    </row>
    <row r="4" spans="2:15" x14ac:dyDescent="0.3">
      <c r="B4">
        <v>2</v>
      </c>
      <c r="C4" t="s">
        <v>214</v>
      </c>
      <c r="D4">
        <v>184.15</v>
      </c>
      <c r="E4">
        <v>1248.3499999999999</v>
      </c>
      <c r="F4">
        <f>E4*D4</f>
        <v>229883.6525</v>
      </c>
      <c r="G4">
        <v>92381.68</v>
      </c>
      <c r="H4">
        <v>10057.530000000001</v>
      </c>
      <c r="I4">
        <f>G4-H4</f>
        <v>82324.149999999994</v>
      </c>
      <c r="J4">
        <f>G4+F4-H4</f>
        <v>312207.80249999999</v>
      </c>
      <c r="K4">
        <v>312344.62</v>
      </c>
      <c r="L4">
        <v>239756.11</v>
      </c>
      <c r="M4">
        <v>8.24</v>
      </c>
      <c r="N4">
        <f>M4*K4</f>
        <v>2573719.6688000001</v>
      </c>
      <c r="O4">
        <v>11263.7</v>
      </c>
    </row>
    <row r="5" spans="2:15" x14ac:dyDescent="0.3">
      <c r="B5">
        <v>1</v>
      </c>
      <c r="C5" t="s">
        <v>330</v>
      </c>
      <c r="D5">
        <v>1297.3</v>
      </c>
      <c r="E5">
        <v>244.55</v>
      </c>
      <c r="F5">
        <f>E5*D5</f>
        <v>317254.71500000003</v>
      </c>
      <c r="G5">
        <v>99310</v>
      </c>
      <c r="H5">
        <v>40989</v>
      </c>
      <c r="I5">
        <f t="shared" ref="I5:I8" si="0">G5-H5</f>
        <v>58321</v>
      </c>
      <c r="J5">
        <f>G5+F5-H5</f>
        <v>375575.71500000003</v>
      </c>
      <c r="K5">
        <v>375156.06</v>
      </c>
      <c r="L5">
        <v>189687</v>
      </c>
      <c r="M5">
        <v>11.45</v>
      </c>
      <c r="N5">
        <f>M5*K5</f>
        <v>4295536.8870000001</v>
      </c>
      <c r="O5">
        <v>27995</v>
      </c>
    </row>
    <row r="6" spans="2:15" x14ac:dyDescent="0.3">
      <c r="B6">
        <v>3</v>
      </c>
      <c r="C6" t="s">
        <v>215</v>
      </c>
      <c r="D6">
        <v>1136.3</v>
      </c>
      <c r="E6">
        <v>102.01</v>
      </c>
      <c r="F6">
        <f t="shared" ref="F6:F8" si="1">E6*D6</f>
        <v>115913.963</v>
      </c>
      <c r="G6">
        <v>22609.55</v>
      </c>
      <c r="H6">
        <v>4141.6000000000004</v>
      </c>
      <c r="I6">
        <f t="shared" si="0"/>
        <v>18467.949999999997</v>
      </c>
      <c r="J6">
        <f t="shared" ref="J6:J8" si="2">G6+F6-H6</f>
        <v>134381.913</v>
      </c>
      <c r="K6">
        <v>134623.41</v>
      </c>
      <c r="L6">
        <v>56412.57</v>
      </c>
      <c r="M6">
        <v>14</v>
      </c>
      <c r="N6">
        <f t="shared" ref="N6:N8" si="3">M6*K6</f>
        <v>1884727.74</v>
      </c>
      <c r="O6">
        <v>2708.7</v>
      </c>
    </row>
    <row r="7" spans="2:15" x14ac:dyDescent="0.3">
      <c r="B7">
        <v>4</v>
      </c>
      <c r="C7" t="s">
        <v>331</v>
      </c>
      <c r="D7">
        <v>186.1</v>
      </c>
      <c r="E7">
        <v>413.05</v>
      </c>
      <c r="F7">
        <f t="shared" si="1"/>
        <v>76868.604999999996</v>
      </c>
      <c r="G7">
        <v>31927.71</v>
      </c>
      <c r="H7">
        <v>732.51</v>
      </c>
      <c r="I7">
        <f t="shared" si="0"/>
        <v>31195.200000000001</v>
      </c>
      <c r="J7">
        <f t="shared" si="2"/>
        <v>108063.80500000001</v>
      </c>
      <c r="K7">
        <v>108064.28</v>
      </c>
      <c r="L7">
        <v>111134.75</v>
      </c>
      <c r="M7">
        <v>7.35</v>
      </c>
      <c r="N7">
        <f t="shared" si="3"/>
        <v>794272.45799999998</v>
      </c>
      <c r="O7">
        <v>4272.2700000000004</v>
      </c>
    </row>
    <row r="8" spans="2:15" x14ac:dyDescent="0.3">
      <c r="B8">
        <v>5</v>
      </c>
      <c r="C8" t="s">
        <v>332</v>
      </c>
      <c r="D8">
        <v>738.75</v>
      </c>
      <c r="E8">
        <v>82.44</v>
      </c>
      <c r="F8">
        <f t="shared" si="1"/>
        <v>60902.549999999996</v>
      </c>
      <c r="G8">
        <v>7460.33</v>
      </c>
      <c r="H8">
        <v>2934.03</v>
      </c>
      <c r="I8">
        <f t="shared" si="0"/>
        <v>4526.2999999999993</v>
      </c>
      <c r="J8">
        <f t="shared" si="2"/>
        <v>65428.849999999991</v>
      </c>
      <c r="K8">
        <v>65409.64</v>
      </c>
      <c r="L8">
        <v>44026.06</v>
      </c>
      <c r="M8">
        <v>10.82</v>
      </c>
      <c r="N8">
        <f t="shared" si="3"/>
        <v>707732.30480000004</v>
      </c>
      <c r="O8">
        <v>3238.57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Data Sheet</vt:lpstr>
      <vt:lpstr>HistoricalFS </vt:lpstr>
      <vt:lpstr>Ratio Analysis</vt:lpstr>
      <vt:lpstr>Forecasting</vt:lpstr>
      <vt:lpstr>Cash Flow Data</vt:lpstr>
      <vt:lpstr>WACC</vt:lpstr>
      <vt:lpstr>Beta</vt:lpstr>
      <vt:lpstr>RM</vt:lpstr>
      <vt:lpstr>Common Size Statement</vt:lpstr>
      <vt:lpstr>Raw FS</vt:lpstr>
      <vt:lpstr>Intrinsic Growth</vt:lpstr>
      <vt:lpstr>DCF</vt:lpstr>
      <vt:lpstr>Relative Pricing</vt:lpstr>
      <vt:lpstr>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khushi lohiya</cp:lastModifiedBy>
  <cp:lastPrinted>2026-09-15T08:39:40Z</cp:lastPrinted>
  <dcterms:created xsi:type="dcterms:W3CDTF">2012-08-17T09:55:37Z</dcterms:created>
  <dcterms:modified xsi:type="dcterms:W3CDTF">2026-09-15T08:39:52Z</dcterms:modified>
</cp:coreProperties>
</file>